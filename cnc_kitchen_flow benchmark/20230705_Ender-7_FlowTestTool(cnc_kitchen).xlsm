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reality\Ender-7 Benchmarking\"/>
    </mc:Choice>
  </mc:AlternateContent>
  <xr:revisionPtr revIDLastSave="0" documentId="13_ncr:1_{CC0E7860-FBCA-41A5-8C83-A970D4F51905}" xr6:coauthVersionLast="47" xr6:coauthVersionMax="47" xr10:uidLastSave="{00000000-0000-0000-0000-000000000000}"/>
  <bookViews>
    <workbookView xWindow="28680" yWindow="-120" windowWidth="29040" windowHeight="16440" activeTab="3" xr2:uid="{BA59FB43-FCC4-4B47-ABF0-1429196A62E9}"/>
  </bookViews>
  <sheets>
    <sheet name="Settings" sheetId="1" r:id="rId1"/>
    <sheet name="Output" sheetId="3" r:id="rId2"/>
    <sheet name="SampleEvaluation" sheetId="4" r:id="rId3"/>
    <sheet name="Evaluation" sheetId="5" r:id="rId4"/>
  </sheets>
  <functionGroups builtInGroupCount="19"/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5" i="5" l="1"/>
  <c r="M45" i="5"/>
  <c r="B31" i="5"/>
  <c r="B29" i="5"/>
  <c r="B18" i="5"/>
  <c r="B27" i="5" s="1"/>
  <c r="B19" i="5"/>
  <c r="B28" i="5" s="1"/>
  <c r="B20" i="5"/>
  <c r="B21" i="5"/>
  <c r="B30" i="5" s="1"/>
  <c r="B22" i="5"/>
  <c r="B23" i="5"/>
  <c r="B32" i="5" s="1"/>
  <c r="B17" i="5"/>
  <c r="B26" i="5" s="1"/>
  <c r="B16" i="5"/>
  <c r="B25" i="5" s="1"/>
  <c r="M48" i="5"/>
  <c r="M51" i="5" s="1"/>
  <c r="M42" i="5"/>
  <c r="M54" i="5" s="1"/>
  <c r="M57" i="5" s="1"/>
  <c r="E23" i="5"/>
  <c r="D23" i="5"/>
  <c r="C23" i="5"/>
  <c r="E22" i="5"/>
  <c r="D22" i="5"/>
  <c r="C22" i="5"/>
  <c r="E21" i="5"/>
  <c r="D21" i="5"/>
  <c r="C21" i="5"/>
  <c r="E20" i="5"/>
  <c r="E29" i="5" s="1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B36" i="1"/>
  <c r="C30" i="5" l="1"/>
  <c r="D25" i="5"/>
  <c r="E25" i="5"/>
  <c r="C26" i="5"/>
  <c r="C27" i="5"/>
  <c r="D27" i="5"/>
  <c r="D32" i="5"/>
  <c r="E32" i="5"/>
  <c r="C25" i="5"/>
  <c r="E27" i="5"/>
  <c r="E26" i="5"/>
  <c r="D29" i="5"/>
  <c r="C32" i="5"/>
  <c r="D30" i="5"/>
  <c r="C28" i="5"/>
  <c r="E30" i="5"/>
  <c r="D28" i="5"/>
  <c r="C31" i="5"/>
  <c r="E28" i="5"/>
  <c r="D31" i="5"/>
  <c r="D26" i="5"/>
  <c r="C29" i="5"/>
  <c r="E31" i="5"/>
  <c r="B15" i="4" l="1"/>
  <c r="B16" i="4"/>
  <c r="B17" i="4"/>
  <c r="B18" i="4"/>
  <c r="B19" i="4"/>
  <c r="B20" i="4"/>
  <c r="B21" i="4"/>
  <c r="B22" i="4"/>
  <c r="B42" i="1"/>
  <c r="C42" i="1" s="1"/>
  <c r="B41" i="1"/>
  <c r="C41" i="1" s="1"/>
  <c r="C22" i="4"/>
  <c r="D22" i="4"/>
  <c r="E22" i="4"/>
  <c r="B25" i="4"/>
  <c r="B26" i="4"/>
  <c r="B27" i="4"/>
  <c r="B28" i="4"/>
  <c r="B29" i="4"/>
  <c r="B30" i="4"/>
  <c r="B31" i="4"/>
  <c r="B24" i="4"/>
  <c r="D15" i="4"/>
  <c r="E15" i="4"/>
  <c r="E24" i="4" s="1"/>
  <c r="D16" i="4"/>
  <c r="E16" i="4"/>
  <c r="D17" i="4"/>
  <c r="E17" i="4"/>
  <c r="D18" i="4"/>
  <c r="E18" i="4"/>
  <c r="D19" i="4"/>
  <c r="E19" i="4"/>
  <c r="D20" i="4"/>
  <c r="E20" i="4"/>
  <c r="D21" i="4"/>
  <c r="E21" i="4"/>
  <c r="C16" i="4"/>
  <c r="C17" i="4"/>
  <c r="C18" i="4"/>
  <c r="C19" i="4"/>
  <c r="C20" i="4"/>
  <c r="C21" i="4"/>
  <c r="C15" i="4"/>
  <c r="C24" i="4"/>
  <c r="D13" i="1"/>
  <c r="B30" i="1"/>
  <c r="E28" i="4" l="1"/>
  <c r="D28" i="4"/>
  <c r="E27" i="4"/>
  <c r="E31" i="4"/>
  <c r="D27" i="4"/>
  <c r="D31" i="4"/>
  <c r="C31" i="4"/>
  <c r="E26" i="4"/>
  <c r="D26" i="4"/>
  <c r="C25" i="4"/>
  <c r="E25" i="4"/>
  <c r="D25" i="4"/>
  <c r="D29" i="4"/>
  <c r="C30" i="4"/>
  <c r="E29" i="4"/>
  <c r="E30" i="4"/>
  <c r="D30" i="4"/>
  <c r="D24" i="4"/>
  <c r="C28" i="4"/>
  <c r="C27" i="4"/>
  <c r="C29" i="4"/>
  <c r="C26" i="4"/>
</calcChain>
</file>

<file path=xl/sharedStrings.xml><?xml version="1.0" encoding="utf-8"?>
<sst xmlns="http://schemas.openxmlformats.org/spreadsheetml/2006/main" count="537" uniqueCount="242">
  <si>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</si>
  <si>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</si>
  <si>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</si>
  <si>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</si>
  <si>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</si>
  <si>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</si>
  <si>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</si>
  <si>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</si>
  <si>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</si>
  <si>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</si>
  <si>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</si>
  <si>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</si>
  <si>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</si>
  <si>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</si>
  <si>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</si>
  <si>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</si>
  <si>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</si>
  <si>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</si>
  <si>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</si>
  <si>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</si>
  <si>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</si>
  <si>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</si>
  <si>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</si>
  <si>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G90</t>
  </si>
  <si>
    <t>G28 ; Move to home position</t>
  </si>
  <si>
    <t>G21; unit in mm</t>
  </si>
  <si>
    <t>G92 E0; reset extruder</t>
  </si>
  <si>
    <t>M83; set extruder to relative mode</t>
  </si>
  <si>
    <t>G4 S0 ; Dwell</t>
  </si>
  <si>
    <t>G0 Z0.5 ; Lift</t>
  </si>
  <si>
    <t>G1 Z10.5 E200 F12.47 ; Extrude</t>
  </si>
  <si>
    <t>G0 Z15.5; Lift</t>
  </si>
  <si>
    <t>G1 Z10.5 E200 F14.97 ; Extrude</t>
  </si>
  <si>
    <t>G1 Z10.5 E200 F17.46 ; Extrude</t>
  </si>
  <si>
    <t>G1 Z10.5 E200 F19.96 ; Extrude</t>
  </si>
  <si>
    <t>G0 Z0.3 ; Drop down</t>
  </si>
  <si>
    <t>;####### 10mm3/s</t>
  </si>
  <si>
    <t>;####### 12mm3/s</t>
  </si>
  <si>
    <t>;####### 14mm3/s</t>
  </si>
  <si>
    <t>;####### 16mm3/s</t>
  </si>
  <si>
    <t>Flow Variation</t>
  </si>
  <si>
    <t>Temperature Variation</t>
  </si>
  <si>
    <t>;####### 4mm3/s</t>
  </si>
  <si>
    <t>G1 Z10.5 E200 F4.99 ; Extrude</t>
  </si>
  <si>
    <t>;####### 6mm3/s</t>
  </si>
  <si>
    <t>G1 Z10.5 E200 F7.48 ; Extrude</t>
  </si>
  <si>
    <t>;####### 8mm3/s</t>
  </si>
  <si>
    <t>G1 Z10.5 E200 F9.98 ; Extrude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</si>
  <si>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</si>
  <si>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</si>
  <si>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</si>
  <si>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</si>
  <si>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</si>
  <si>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</si>
  <si>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</si>
  <si>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G0 Z10 ; Lift nozzle</t>
  </si>
  <si>
    <t>Fan Speed</t>
  </si>
  <si>
    <t>%</t>
  </si>
  <si>
    <t>M106 S0 ; Set Fan Speed</t>
  </si>
  <si>
    <t>Bed Temperature</t>
  </si>
  <si>
    <t>M104 S0 T0 ; Turn Off Hotend</t>
  </si>
  <si>
    <t>M140 S0 ; Turn Off Bed</t>
  </si>
  <si>
    <t>M84</t>
  </si>
  <si>
    <t>Temperature Spacing</t>
  </si>
  <si>
    <t>Flow Spacing</t>
  </si>
  <si>
    <t>Comment</t>
  </si>
  <si>
    <t>;####### End G-Code</t>
  </si>
  <si>
    <t>;####### Settings</t>
  </si>
  <si>
    <t>; filamentDiameter = 1.75</t>
  </si>
  <si>
    <t>; movementSpeed = 100</t>
  </si>
  <si>
    <t>; blobHeight = 10</t>
  </si>
  <si>
    <t>; extrusionAmount = 200</t>
  </si>
  <si>
    <t>; xSpacing = 40</t>
  </si>
  <si>
    <t>Prime Flow</t>
  </si>
  <si>
    <t>; primeSpeed = 5</t>
  </si>
  <si>
    <t>If Steps = 1 "Fill Mode" is used</t>
  </si>
  <si>
    <t>; bedMargin = 5</t>
  </si>
  <si>
    <t>; primeLength = 25</t>
  </si>
  <si>
    <t>; primeAmount = 20</t>
  </si>
  <si>
    <t>G1 X30 E20 F300 ;Prime</t>
  </si>
  <si>
    <t>G0 X45 F6000 ; Wipe</t>
  </si>
  <si>
    <t>G1 X110 E20 F300 ;Prime</t>
  </si>
  <si>
    <t>G0 X125 F6000 ; Wipe</t>
  </si>
  <si>
    <t>G1 X190 E20 F300 ;Prime</t>
  </si>
  <si>
    <t>G0 X205 F6000 ; Wipe</t>
  </si>
  <si>
    <t>; stabilizationTime = 20</t>
  </si>
  <si>
    <t>G4 S20; Stabalize</t>
  </si>
  <si>
    <t>; retractionSpeed = 60</t>
  </si>
  <si>
    <t>; direction = 1</t>
  </si>
  <si>
    <t>G0 X5 Y5 Z15.5 F6000</t>
  </si>
  <si>
    <t>G0 X5 Y5 F6000</t>
  </si>
  <si>
    <t>G0 X5 Y155 Z15.5 F6000</t>
  </si>
  <si>
    <t>G0 X5 Y155 F6000</t>
  </si>
  <si>
    <t>G0 X85 Y5 Z15.5 F6000</t>
  </si>
  <si>
    <t>G0 X85 Y5 F6000</t>
  </si>
  <si>
    <t>G0 X85 Y155 Z15.5 F6000</t>
  </si>
  <si>
    <t>G0 X85 Y155 F6000</t>
  </si>
  <si>
    <t>G0 X165 Y5 Z15.5 F6000</t>
  </si>
  <si>
    <t>G0 X165 Y5 F6000</t>
  </si>
  <si>
    <t>G0 X165 Y155 Z15.5 F6000</t>
  </si>
  <si>
    <t>G0 X165 Y155 F6000</t>
  </si>
  <si>
    <t>; flowOffset = 2</t>
  </si>
  <si>
    <t>;####### 220C</t>
  </si>
  <si>
    <t>M117 220°C // 4mm3/s</t>
  </si>
  <si>
    <t>M117 220°C // 6mm3/s</t>
  </si>
  <si>
    <t>M117 220°C // 8mm3/s</t>
  </si>
  <si>
    <t>M117 220°C // 10mm3/s</t>
  </si>
  <si>
    <t>M117 220°C // 12mm3/s</t>
  </si>
  <si>
    <t>M117 220°C // 14mm3/s</t>
  </si>
  <si>
    <t>M117 220°C // 16mm3/s</t>
  </si>
  <si>
    <t>Printer</t>
  </si>
  <si>
    <t>Temperature / °C</t>
  </si>
  <si>
    <t>Flow rate / mm³/s</t>
  </si>
  <si>
    <t>weights / g</t>
  </si>
  <si>
    <t>Input</t>
  </si>
  <si>
    <t>Underextrusion Amount</t>
  </si>
  <si>
    <t>Real Flow</t>
  </si>
  <si>
    <t>Material</t>
  </si>
  <si>
    <t>Test 1</t>
  </si>
  <si>
    <t>; *** CNC Kitchen Auto Flow Pattern Generator 0.93</t>
  </si>
  <si>
    <t>; *** 02/04/26 Stefan Hermann</t>
  </si>
  <si>
    <t>M117 200°C // 4mm3/s</t>
  </si>
  <si>
    <t>M117 200°C // 6mm3/s</t>
  </si>
  <si>
    <t>M117 200°C // 8mm3/s</t>
  </si>
  <si>
    <t>M117 200°C // 10mm3/s</t>
  </si>
  <si>
    <t>M117 200°C // 12mm3/s</t>
  </si>
  <si>
    <t>M117 200°C // 14mm3/s</t>
  </si>
  <si>
    <t>M117 200°C // 16mm3/s</t>
  </si>
  <si>
    <t>; flowSteps = 8</t>
  </si>
  <si>
    <t>; tempSteps = 3</t>
  </si>
  <si>
    <t>Ender-7</t>
  </si>
  <si>
    <t>; Ender-7</t>
  </si>
  <si>
    <t>M117 210°C // 4mm3/s</t>
  </si>
  <si>
    <t>M117 210°C // 6mm3/s</t>
  </si>
  <si>
    <t>M117 210°C // 8mm3/s</t>
  </si>
  <si>
    <t>M117 210°C // 10mm3/s</t>
  </si>
  <si>
    <t>M117 210°C // 12mm3/s</t>
  </si>
  <si>
    <t>M117 210°C // 14mm3/s</t>
  </si>
  <si>
    <t>M117 210°C // 16mm3/s</t>
  </si>
  <si>
    <t>total bed width required</t>
  </si>
  <si>
    <t>total bed length required</t>
  </si>
  <si>
    <t>Created by CNC Kitchen</t>
  </si>
  <si>
    <t>; tempOffset = 10</t>
  </si>
  <si>
    <t>M109 S220</t>
  </si>
  <si>
    <t>Ender-7 Pro</t>
  </si>
  <si>
    <t>Filament PLA</t>
  </si>
  <si>
    <t>; bedWidth = 250</t>
  </si>
  <si>
    <t>; bedLength = 250</t>
  </si>
  <si>
    <t>; retractionDistance = 8</t>
  </si>
  <si>
    <t>; ySpacing = 30</t>
  </si>
  <si>
    <t>G1 E-8 F3600; Retract</t>
  </si>
  <si>
    <t>G1 E8 F3600 ; De-Retract</t>
  </si>
  <si>
    <t>G1 E-8 F3600 ; Retract</t>
  </si>
  <si>
    <t>G0 X5 Y35 Z15.5 F6000</t>
  </si>
  <si>
    <t>G0 X5 Y35 F6000</t>
  </si>
  <si>
    <t>G0 X5 Y65 Z15.5 F6000</t>
  </si>
  <si>
    <t>G0 X5 Y65 F6000</t>
  </si>
  <si>
    <t>G0 X5 Y95 Z15.5 F6000</t>
  </si>
  <si>
    <t>G0 X5 Y95 F6000</t>
  </si>
  <si>
    <t>G0 X5 Y125 Z15.5 F6000</t>
  </si>
  <si>
    <t>G0 X5 Y125 F6000</t>
  </si>
  <si>
    <t>G0 X5 Y185 Z15.5 F6000</t>
  </si>
  <si>
    <t>G0 X5 Y185 F6000</t>
  </si>
  <si>
    <t>G0 X5 Y215 Z15.5 F6000</t>
  </si>
  <si>
    <t>G0 X5 Y215 F6000</t>
  </si>
  <si>
    <t>G0 X85 Y35 Z15.5 F6000</t>
  </si>
  <si>
    <t>G0 X85 Y35 F6000</t>
  </si>
  <si>
    <t>G0 X85 Y65 Z15.5 F6000</t>
  </si>
  <si>
    <t>G0 X85 Y65 F6000</t>
  </si>
  <si>
    <t>G0 X85 Y95 Z15.5 F6000</t>
  </si>
  <si>
    <t>G0 X85 Y95 F6000</t>
  </si>
  <si>
    <t>G0 X85 Y125 Z15.5 F6000</t>
  </si>
  <si>
    <t>G0 X85 Y125 F6000</t>
  </si>
  <si>
    <t>G0 X85 Y185 Z15.5 F6000</t>
  </si>
  <si>
    <t>G0 X85 Y185 F6000</t>
  </si>
  <si>
    <t>G0 X85 Y215 Z15.5 F6000</t>
  </si>
  <si>
    <t>G0 X85 Y215 F6000</t>
  </si>
  <si>
    <t>G0 X165 Y35 Z15.5 F6000</t>
  </si>
  <si>
    <t>G0 X165 Y35 F6000</t>
  </si>
  <si>
    <t>G0 X165 Y65 Z15.5 F6000</t>
  </si>
  <si>
    <t>G0 X165 Y65 F6000</t>
  </si>
  <si>
    <t>G0 X165 Y95 Z15.5 F6000</t>
  </si>
  <si>
    <t>G0 X165 Y95 F6000</t>
  </si>
  <si>
    <t>G0 X165 Y125 Z15.5 F6000</t>
  </si>
  <si>
    <t>G0 X165 Y125 F6000</t>
  </si>
  <si>
    <t>G0 X165 Y185 Z15.5 F6000</t>
  </si>
  <si>
    <t>G0 X165 Y185 F6000</t>
  </si>
  <si>
    <t>G0 X165 Y215 Z15.5 F6000</t>
  </si>
  <si>
    <t>G0 X165 Y215 F6000</t>
  </si>
  <si>
    <t>G0 X245 Y245 ; Move to Corner</t>
  </si>
  <si>
    <t>; bedTemp = 60</t>
  </si>
  <si>
    <t>; startFlow = 2</t>
  </si>
  <si>
    <t>M140 S60 ; Set Bed Temperature</t>
  </si>
  <si>
    <t>M190 S60 ; Set Bed Temperature &amp; Wait</t>
  </si>
  <si>
    <t>;####### 2mm3/s</t>
  </si>
  <si>
    <t>M117 200°C // 2mm3/s</t>
  </si>
  <si>
    <t>G1 Z10.5 E200 F2.49 ; Extrude</t>
  </si>
  <si>
    <t>M117 210°C // 2mm3/s</t>
  </si>
  <si>
    <t>M117 220°C // 2mm3/s</t>
  </si>
  <si>
    <t>; startTemp = 220</t>
  </si>
  <si>
    <t>M104 S220 ; Set Nozzle Temperature</t>
  </si>
  <si>
    <t>;####### 230C</t>
  </si>
  <si>
    <t>M109 S230</t>
  </si>
  <si>
    <t>;####### 240C</t>
  </si>
  <si>
    <t>M109 S240</t>
  </si>
  <si>
    <t>Nozzle</t>
  </si>
  <si>
    <t>Aurarum PLA</t>
  </si>
  <si>
    <t>Temperature</t>
  </si>
  <si>
    <t>Flow rate (mm^3/s)</t>
  </si>
  <si>
    <t>rates / g</t>
  </si>
  <si>
    <t>Input (mm^3/s)</t>
  </si>
  <si>
    <t>Under Extrusion Amount (%)</t>
  </si>
  <si>
    <t>Real Flow (mm^3/s)</t>
  </si>
  <si>
    <t>Ender-7 print speed calculations</t>
  </si>
  <si>
    <t>Variables</t>
  </si>
  <si>
    <t>Nozzle width</t>
  </si>
  <si>
    <t>Filament cross section</t>
  </si>
  <si>
    <t>mm^2</t>
  </si>
  <si>
    <t>Layer Height</t>
  </si>
  <si>
    <t>filament_cross_section(mm^2) = PI() * (&lt;filament_diameter(mm)&gt;/2)^2</t>
  </si>
  <si>
    <t>Line width (1.2*[nozzle])</t>
  </si>
  <si>
    <t>Filament diameter</t>
  </si>
  <si>
    <t>Extruder temperature</t>
  </si>
  <si>
    <t>C</t>
  </si>
  <si>
    <t>Maximum extrusion volume (mm^3/s)</t>
  </si>
  <si>
    <t>mm^3/s</t>
  </si>
  <si>
    <t>Maximum printing speed</t>
  </si>
  <si>
    <t>Filament extruded</t>
  </si>
  <si>
    <t>speed(mm/s) = &lt;volumetric_flow(mm^3/s)&gt; / &lt;layer_height(mm)&gt; / &lt;line_width(mm)&gt;</t>
  </si>
  <si>
    <t>Blob height</t>
  </si>
  <si>
    <t>Blob weight</t>
  </si>
  <si>
    <t>g</t>
  </si>
  <si>
    <t>Maximum volumetric flow rate (confirm)</t>
  </si>
  <si>
    <t>volumetric_flow(mm^3/s) = &lt;speed(mm/s)&gt; * &lt;layer_height(mm)&gt; * &lt;line_width(mm)&gt;</t>
  </si>
  <si>
    <t>Maximum Extruder Feedrate</t>
  </si>
  <si>
    <t>max feedrate(mm/s) = &lt;maximum volumetric flow(mm^3/s)&gt; / &lt;filament cross section(mm^2)&gt;</t>
  </si>
  <si>
    <t>gcode feedrate</t>
  </si>
  <si>
    <t>mm/min</t>
  </si>
  <si>
    <t>gcode feedrate mm/min = &lt;extruder feedrate(mm/s)&gt; * 60</t>
  </si>
  <si>
    <t>0.4 creality ender 7 nozzle</t>
  </si>
  <si>
    <t>extrusion_speed(mm/min) = &lt;blob_height(mm)&gt; / (&lt;extrusion_amount(mm)&gt; / (&lt;start_flow(mm^3/s)&gt; / &lt;filament_cross_section(mm^2)&gt; *60))</t>
  </si>
  <si>
    <t>Calculate test gcode blob lift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</si>
</sst>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2" borderId="1" applyNumberFormat="0" applyAlignment="0" applyProtection="0"/>
    <xf numFmtId="0" fontId="7" fillId="3" borderId="1" applyNumberFormat="0" applyAlignment="0" applyProtection="0"/>
  </cellStyleXfs>
  <cellXfs count="24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9" fontId="0" fillId="0" borderId="0" xfId="1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textRotation="90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 vertical="center" textRotation="90" wrapText="1"/>
    </xf>
    <xf numFmtId="0" fontId="1" fillId="0" borderId="0" xfId="0" applyFont="1" applyAlignment="1">
      <alignment horizontal="center" vertical="center" textRotation="90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6" fillId="2" borderId="1" xfId="2"/>
    <xf numFmtId="0" fontId="7" fillId="3" borderId="1" xfId="3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9" fontId="0" fillId="0" borderId="0" xfId="0" applyNumberFormat="1"/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Ender-7 - Extrusion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SampleEvaluation!$C$15:$C$21</c:f>
              <c:numCache>
                <c:formatCode>0%</c:formatCode>
                <c:ptCount val="7"/>
                <c:pt idx="0">
                  <c:v>0</c:v>
                </c:pt>
                <c:pt idx="1">
                  <c:v>-1.5332197614991494E-2</c:v>
                </c:pt>
                <c:pt idx="2">
                  <c:v>-1.5332197614991494E-2</c:v>
                </c:pt>
                <c:pt idx="3">
                  <c:v>-1.1925042589437829E-2</c:v>
                </c:pt>
                <c:pt idx="4">
                  <c:v>-3.0664395229982988E-2</c:v>
                </c:pt>
                <c:pt idx="5">
                  <c:v>-1.1925042589437829E-2</c:v>
                </c:pt>
                <c:pt idx="6">
                  <c:v>-3.9182282793867151E-2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SampleEvaluation!$D$15:$D$21</c:f>
              <c:numCache>
                <c:formatCode>0%</c:formatCode>
                <c:ptCount val="7"/>
                <c:pt idx="0">
                  <c:v>0</c:v>
                </c:pt>
                <c:pt idx="1">
                  <c:v>1.245551601423478E-2</c:v>
                </c:pt>
                <c:pt idx="2">
                  <c:v>7.1174377224196839E-3</c:v>
                </c:pt>
                <c:pt idx="3">
                  <c:v>1.0676156583629748E-2</c:v>
                </c:pt>
                <c:pt idx="4">
                  <c:v>7.1174377224196839E-3</c:v>
                </c:pt>
                <c:pt idx="5">
                  <c:v>-8.8967971530249379E-3</c:v>
                </c:pt>
                <c:pt idx="6">
                  <c:v>-1.4234875444839923E-2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SampleEvaluation!$E$15:$E$21</c:f>
              <c:numCache>
                <c:formatCode>0%</c:formatCode>
                <c:ptCount val="7"/>
                <c:pt idx="0">
                  <c:v>0</c:v>
                </c:pt>
                <c:pt idx="1">
                  <c:v>-1.0344827586206917E-2</c:v>
                </c:pt>
                <c:pt idx="2">
                  <c:v>-2.4137931034482807E-2</c:v>
                </c:pt>
                <c:pt idx="3">
                  <c:v>-4.655172413793085E-2</c:v>
                </c:pt>
                <c:pt idx="4">
                  <c:v>-3.9655172413792905E-2</c:v>
                </c:pt>
                <c:pt idx="5">
                  <c:v>-6.7241379310344684E-2</c:v>
                </c:pt>
                <c:pt idx="6">
                  <c:v>-8.1034482758620574E-2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0528"/>
        <c:axId val="2066673872"/>
      </c:scatterChart>
      <c:valAx>
        <c:axId val="20666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73872"/>
        <c:crosses val="autoZero"/>
        <c:crossBetween val="midCat"/>
      </c:valAx>
      <c:valAx>
        <c:axId val="20666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8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SampleEvaluation!$C$24:$C$30</c:f>
              <c:numCache>
                <c:formatCode>0.0</c:formatCode>
                <c:ptCount val="7"/>
                <c:pt idx="0">
                  <c:v>2</c:v>
                </c:pt>
                <c:pt idx="1">
                  <c:v>3.938671209540034</c:v>
                </c:pt>
                <c:pt idx="2">
                  <c:v>5.9080068143100508</c:v>
                </c:pt>
                <c:pt idx="3">
                  <c:v>7.9045996592844974</c:v>
                </c:pt>
                <c:pt idx="4">
                  <c:v>9.6933560477001706</c:v>
                </c:pt>
                <c:pt idx="5">
                  <c:v>11.856899488926746</c:v>
                </c:pt>
                <c:pt idx="6">
                  <c:v>13.451448040885859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SampleEvaluation!$D$24:$D$30</c:f>
              <c:numCache>
                <c:formatCode>0.0</c:formatCode>
                <c:ptCount val="7"/>
                <c:pt idx="0">
                  <c:v>2</c:v>
                </c:pt>
                <c:pt idx="1">
                  <c:v>4.0498220640569391</c:v>
                </c:pt>
                <c:pt idx="2">
                  <c:v>6.0427046263345181</c:v>
                </c:pt>
                <c:pt idx="3">
                  <c:v>8.085409252669038</c:v>
                </c:pt>
                <c:pt idx="4">
                  <c:v>10.071174377224196</c:v>
                </c:pt>
                <c:pt idx="5">
                  <c:v>11.893238434163701</c:v>
                </c:pt>
                <c:pt idx="6">
                  <c:v>13.800711743772242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SampleEvaluation!$E$24:$E$30</c:f>
              <c:numCache>
                <c:formatCode>0.0</c:formatCode>
                <c:ptCount val="7"/>
                <c:pt idx="0">
                  <c:v>2</c:v>
                </c:pt>
                <c:pt idx="1">
                  <c:v>3.9586206896551723</c:v>
                </c:pt>
                <c:pt idx="2">
                  <c:v>5.8551724137931034</c:v>
                </c:pt>
                <c:pt idx="3">
                  <c:v>7.6275862068965532</c:v>
                </c:pt>
                <c:pt idx="4">
                  <c:v>9.6034482758620712</c:v>
                </c:pt>
                <c:pt idx="5">
                  <c:v>11.193103448275863</c:v>
                </c:pt>
                <c:pt idx="6">
                  <c:v>12.865517241379312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98431"/>
        <c:axId val="1194880127"/>
      </c:scatterChart>
      <c:valAx>
        <c:axId val="119489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80127"/>
        <c:crosses val="autoZero"/>
        <c:crossBetween val="midCat"/>
      </c:valAx>
      <c:valAx>
        <c:axId val="119488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98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v>Requested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cat>
          <c:val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7A-4385-AEF1-093B0668D05B}"/>
            </c:ext>
          </c:extLst>
        </c:ser>
        <c:ser>
          <c:idx val="0"/>
          <c:order val="1"/>
          <c:tx>
            <c:v>200C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cat>
          <c:val>
            <c:numRef>
              <c:f>Evaluation!$E$25:$E$32</c:f>
              <c:numCache>
                <c:formatCode>General</c:formatCode>
                <c:ptCount val="8"/>
                <c:pt idx="0">
                  <c:v>2</c:v>
                </c:pt>
                <c:pt idx="1">
                  <c:v>3.9586206896551723</c:v>
                </c:pt>
                <c:pt idx="2">
                  <c:v>5.8551724137931034</c:v>
                </c:pt>
                <c:pt idx="3">
                  <c:v>7.6275862068965532</c:v>
                </c:pt>
                <c:pt idx="4">
                  <c:v>9.6034482758620712</c:v>
                </c:pt>
                <c:pt idx="5">
                  <c:v>11.193103448275863</c:v>
                </c:pt>
                <c:pt idx="6">
                  <c:v>12.865517241379312</c:v>
                </c:pt>
                <c:pt idx="7">
                  <c:v>14.234482758620691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7A-4385-AEF1-093B0668D05B}"/>
            </c:ext>
          </c:extLst>
        </c:ser>
        <c:ser>
          <c:idx val="1"/>
          <c:order val="2"/>
          <c:tx>
            <c:v>210C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cat>
          <c:val>
            <c:numRef>
              <c:f>Evaluation!$D$25:$D$32</c:f>
              <c:numCache>
                <c:formatCode>General</c:formatCode>
                <c:ptCount val="8"/>
                <c:pt idx="0">
                  <c:v>2</c:v>
                </c:pt>
                <c:pt idx="1">
                  <c:v>4.0498220640569391</c:v>
                </c:pt>
                <c:pt idx="2">
                  <c:v>6.0427046263345181</c:v>
                </c:pt>
                <c:pt idx="3">
                  <c:v>8.085409252669038</c:v>
                </c:pt>
                <c:pt idx="4">
                  <c:v>10.071174377224196</c:v>
                </c:pt>
                <c:pt idx="5">
                  <c:v>11.893238434163701</c:v>
                </c:pt>
                <c:pt idx="6">
                  <c:v>13.800711743772242</c:v>
                </c:pt>
                <c:pt idx="7">
                  <c:v>15.430604982206406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7A-4385-AEF1-093B0668D05B}"/>
            </c:ext>
          </c:extLst>
        </c:ser>
        <c:ser>
          <c:idx val="2"/>
          <c:order val="3"/>
          <c:tx>
            <c:v>220C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cat>
          <c:val>
            <c:numRef>
              <c:f>Evaluation!$C$25:$C$32</c:f>
              <c:numCache>
                <c:formatCode>General</c:formatCode>
                <c:ptCount val="8"/>
                <c:pt idx="0">
                  <c:v>2</c:v>
                </c:pt>
                <c:pt idx="1">
                  <c:v>3.938671209540034</c:v>
                </c:pt>
                <c:pt idx="2">
                  <c:v>5.9080068143100508</c:v>
                </c:pt>
                <c:pt idx="3">
                  <c:v>7.9045996592844974</c:v>
                </c:pt>
                <c:pt idx="4">
                  <c:v>9.6933560477001706</c:v>
                </c:pt>
                <c:pt idx="5">
                  <c:v>11.856899488926746</c:v>
                </c:pt>
                <c:pt idx="6">
                  <c:v>13.451448040885859</c:v>
                </c:pt>
                <c:pt idx="7">
                  <c:v>14.882453151618401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7A-4385-AEF1-093B0668D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532512"/>
        <c:axId val="399533760"/>
      </c:lineChart>
      <c:catAx>
        <c:axId val="39953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Requested Flow (mm^3/s)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33760"/>
        <c:crosses val="autoZero"/>
        <c:auto val="1"/>
        <c:lblAlgn val="ctr"/>
        <c:lblOffset val="100"/>
        <c:noMultiLvlLbl val="0"/>
      </c:catAx>
      <c:valAx>
        <c:axId val="39953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Real Flow (mm^3/s)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Under</a:t>
            </a:r>
            <a:r>
              <a:rPr lang="en-AU" baseline="0"/>
              <a:t> E</a:t>
            </a:r>
            <a:r>
              <a:rPr lang="en-AU"/>
              <a:t>xtrusion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cat>
          <c:val>
            <c:numRef>
              <c:f>Evaluation!$E$16:$E$23</c:f>
              <c:numCache>
                <c:formatCode>0%</c:formatCode>
                <c:ptCount val="8"/>
                <c:pt idx="0">
                  <c:v>0</c:v>
                </c:pt>
                <c:pt idx="1">
                  <c:v>-1.0344827586206917E-2</c:v>
                </c:pt>
                <c:pt idx="2">
                  <c:v>-2.4137931034482807E-2</c:v>
                </c:pt>
                <c:pt idx="3">
                  <c:v>-4.655172413793085E-2</c:v>
                </c:pt>
                <c:pt idx="4">
                  <c:v>-3.9655172413792905E-2</c:v>
                </c:pt>
                <c:pt idx="5">
                  <c:v>-6.7241379310344684E-2</c:v>
                </c:pt>
                <c:pt idx="6">
                  <c:v>-8.1034482758620574E-2</c:v>
                </c:pt>
                <c:pt idx="7">
                  <c:v>-0.11034482758620678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47-4726-8A62-D229BDA448C8}"/>
            </c:ext>
          </c:extLst>
        </c:ser>
        <c:ser>
          <c:idx val="4"/>
          <c:order val="1"/>
          <c:tx>
            <c:v>210C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cat>
          <c:val>
            <c:numRef>
              <c:f>Evaluation!$D$16:$D$23</c:f>
              <c:numCache>
                <c:formatCode>0%</c:formatCode>
                <c:ptCount val="8"/>
                <c:pt idx="0">
                  <c:v>0</c:v>
                </c:pt>
                <c:pt idx="1">
                  <c:v>1.245551601423478E-2</c:v>
                </c:pt>
                <c:pt idx="2">
                  <c:v>7.1174377224196839E-3</c:v>
                </c:pt>
                <c:pt idx="3">
                  <c:v>1.0676156583629748E-2</c:v>
                </c:pt>
                <c:pt idx="4">
                  <c:v>7.1174377224196839E-3</c:v>
                </c:pt>
                <c:pt idx="5">
                  <c:v>-8.8967971530249379E-3</c:v>
                </c:pt>
                <c:pt idx="6">
                  <c:v>-1.4234875444839923E-2</c:v>
                </c:pt>
                <c:pt idx="7">
                  <c:v>-3.5587188612099641E-2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47-4726-8A62-D229BDA448C8}"/>
            </c:ext>
          </c:extLst>
        </c:ser>
        <c:ser>
          <c:idx val="5"/>
          <c:order val="2"/>
          <c:tx>
            <c:v>220C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Evaluation!$B$7:$B$14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cat>
          <c:val>
            <c:numRef>
              <c:f>Evaluation!$C$16:$C$23</c:f>
              <c:numCache>
                <c:formatCode>0%</c:formatCode>
                <c:ptCount val="8"/>
                <c:pt idx="0">
                  <c:v>0</c:v>
                </c:pt>
                <c:pt idx="1">
                  <c:v>-1.5332197614991494E-2</c:v>
                </c:pt>
                <c:pt idx="2">
                  <c:v>-1.5332197614991494E-2</c:v>
                </c:pt>
                <c:pt idx="3">
                  <c:v>-1.1925042589437829E-2</c:v>
                </c:pt>
                <c:pt idx="4">
                  <c:v>-3.0664395229982988E-2</c:v>
                </c:pt>
                <c:pt idx="5">
                  <c:v>-1.1925042589437829E-2</c:v>
                </c:pt>
                <c:pt idx="6">
                  <c:v>-3.9182282793867151E-2</c:v>
                </c:pt>
                <c:pt idx="7">
                  <c:v>-6.9846678023849917E-2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47-4726-8A62-D229BDA44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960448"/>
        <c:axId val="457961696"/>
        <c:extLst/>
      </c:lineChart>
      <c:catAx>
        <c:axId val="45796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Flow Rate (mm^3/s)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61696"/>
        <c:crosses val="autoZero"/>
        <c:auto val="1"/>
        <c:lblAlgn val="ctr"/>
        <c:lblOffset val="100"/>
        <c:noMultiLvlLbl val="0"/>
      </c:catAx>
      <c:valAx>
        <c:axId val="45796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Under 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6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44</xdr:row>
          <xdr:rowOff>47625</xdr:rowOff>
        </xdr:from>
        <xdr:to>
          <xdr:col>2</xdr:col>
          <xdr:colOff>1123950</xdr:colOff>
          <xdr:row>49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198121</xdr:colOff>
      <xdr:row>0</xdr:row>
      <xdr:rowOff>114301</xdr:rowOff>
    </xdr:from>
    <xdr:to>
      <xdr:col>13</xdr:col>
      <xdr:colOff>254025</xdr:colOff>
      <xdr:row>24</xdr:row>
      <xdr:rowOff>45721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74181" y="114301"/>
          <a:ext cx="5603264" cy="432054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24</xdr:row>
      <xdr:rowOff>76200</xdr:rowOff>
    </xdr:from>
    <xdr:to>
      <xdr:col>13</xdr:col>
      <xdr:colOff>701040</xdr:colOff>
      <xdr:row>54</xdr:row>
      <xdr:rowOff>21549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1324</xdr:colOff>
      <xdr:row>32</xdr:row>
      <xdr:rowOff>61177</xdr:rowOff>
    </xdr:from>
    <xdr:to>
      <xdr:col>15</xdr:col>
      <xdr:colOff>222170</xdr:colOff>
      <xdr:row>50</xdr:row>
      <xdr:rowOff>30437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136855</xdr:colOff>
      <xdr:row>32</xdr:row>
      <xdr:rowOff>25994</xdr:rowOff>
    </xdr:from>
    <xdr:to>
      <xdr:col>7</xdr:col>
      <xdr:colOff>627332</xdr:colOff>
      <xdr:row>49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4761</xdr:colOff>
      <xdr:row>1</xdr:row>
      <xdr:rowOff>9524</xdr:rowOff>
    </xdr:from>
    <xdr:to>
      <xdr:col>17</xdr:col>
      <xdr:colOff>14286</xdr:colOff>
      <xdr:row>32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E6085B-517F-48EF-B733-8132BBA66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</xdr:colOff>
      <xdr:row>1</xdr:row>
      <xdr:rowOff>9525</xdr:rowOff>
    </xdr:from>
    <xdr:to>
      <xdr:col>28</xdr:col>
      <xdr:colOff>76200</xdr:colOff>
      <xdr:row>32</xdr:row>
      <xdr:rowOff>55245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F0FB24-F600-4127-8F69-E08D01B6AB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Creality\Ender-7%20Benchmarking\20230508_flow_benchmark_ender7_0.4_results.xlsx" TargetMode="External"/><Relationship Id="rId1" Type="http://schemas.openxmlformats.org/officeDocument/2006/relationships/externalLinkPath" Target="20230508_flow_benchmark_ender7_0.4_resul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valuation"/>
    </sheetNames>
    <sheetDataSet>
      <sheetData sheetId="0">
        <row r="16">
          <cell r="B16">
            <v>4</v>
          </cell>
          <cell r="C16">
            <v>0</v>
          </cell>
          <cell r="D16">
            <v>0</v>
          </cell>
          <cell r="E16">
            <v>0</v>
          </cell>
        </row>
        <row r="17">
          <cell r="B17">
            <v>6</v>
          </cell>
          <cell r="C17">
            <v>1.8382352941177516E-3</v>
          </cell>
          <cell r="D17">
            <v>-4.4326241134751587E-2</v>
          </cell>
          <cell r="E17">
            <v>-7.0671378091871073E-3</v>
          </cell>
        </row>
        <row r="18">
          <cell r="B18">
            <v>8</v>
          </cell>
          <cell r="C18">
            <v>-6.0661764705882359E-2</v>
          </cell>
          <cell r="D18">
            <v>-6.3829787234042423E-2</v>
          </cell>
          <cell r="E18">
            <v>-7.7738515901059957E-2</v>
          </cell>
        </row>
        <row r="19">
          <cell r="B19">
            <v>10</v>
          </cell>
          <cell r="C19">
            <v>-7.5367647058823595E-2</v>
          </cell>
          <cell r="D19">
            <v>-0.10815602836879423</v>
          </cell>
          <cell r="E19">
            <v>-8.833922261484084E-2</v>
          </cell>
        </row>
        <row r="20">
          <cell r="B20">
            <v>12</v>
          </cell>
          <cell r="C20">
            <v>-0.10845588235294124</v>
          </cell>
          <cell r="D20">
            <v>-0.12943262411347511</v>
          </cell>
          <cell r="E20">
            <v>-0.10600706713780905</v>
          </cell>
        </row>
        <row r="21">
          <cell r="B21">
            <v>14</v>
          </cell>
          <cell r="C21">
            <v>-0.28308823529411764</v>
          </cell>
          <cell r="D21">
            <v>-0.25177304964539005</v>
          </cell>
          <cell r="E21">
            <v>-0.24734982332155475</v>
          </cell>
        </row>
        <row r="22">
          <cell r="B22">
            <v>16</v>
          </cell>
          <cell r="C22">
            <v>-0.47794117647058831</v>
          </cell>
          <cell r="D22">
            <v>-0.39893617021276584</v>
          </cell>
          <cell r="E22">
            <v>-0.43992932862190803</v>
          </cell>
        </row>
        <row r="23">
          <cell r="B23">
            <v>18</v>
          </cell>
          <cell r="C23">
            <v>-0.70220588235294112</v>
          </cell>
          <cell r="D23">
            <v>-0.56737588652482263</v>
          </cell>
          <cell r="E23">
            <v>-0.49293286219081267</v>
          </cell>
        </row>
        <row r="25">
          <cell r="B25">
            <v>4</v>
          </cell>
          <cell r="C25">
            <v>4</v>
          </cell>
          <cell r="D25">
            <v>4</v>
          </cell>
          <cell r="E25">
            <v>4</v>
          </cell>
        </row>
        <row r="26">
          <cell r="B26">
            <v>6</v>
          </cell>
          <cell r="C26">
            <v>6.0110294117647065</v>
          </cell>
          <cell r="D26">
            <v>5.7340425531914905</v>
          </cell>
          <cell r="E26">
            <v>5.9575971731448778</v>
          </cell>
        </row>
        <row r="27">
          <cell r="B27">
            <v>8</v>
          </cell>
          <cell r="C27">
            <v>7.5147058823529411</v>
          </cell>
          <cell r="D27">
            <v>7.4893617021276606</v>
          </cell>
          <cell r="E27">
            <v>7.3780918727915203</v>
          </cell>
        </row>
        <row r="28">
          <cell r="B28">
            <v>10</v>
          </cell>
          <cell r="C28">
            <v>9.2463235294117645</v>
          </cell>
          <cell r="D28">
            <v>8.9184397163120579</v>
          </cell>
          <cell r="E28">
            <v>9.1166077738515909</v>
          </cell>
        </row>
        <row r="29">
          <cell r="B29">
            <v>12</v>
          </cell>
          <cell r="C29">
            <v>10.698529411764705</v>
          </cell>
          <cell r="D29">
            <v>10.446808510638299</v>
          </cell>
          <cell r="E29">
            <v>10.727915194346291</v>
          </cell>
        </row>
        <row r="30">
          <cell r="B30">
            <v>14</v>
          </cell>
          <cell r="C30">
            <v>10.036764705882353</v>
          </cell>
          <cell r="D30">
            <v>10.475177304964539</v>
          </cell>
          <cell r="E30">
            <v>10.537102473498233</v>
          </cell>
        </row>
        <row r="31">
          <cell r="B31">
            <v>16</v>
          </cell>
          <cell r="C31">
            <v>8.352941176470587</v>
          </cell>
          <cell r="D31">
            <v>9.6170212765957466</v>
          </cell>
          <cell r="E31">
            <v>8.9611307420494715</v>
          </cell>
        </row>
        <row r="32">
          <cell r="B32">
            <v>18</v>
          </cell>
          <cell r="C32">
            <v>5.3602941176470598</v>
          </cell>
          <cell r="D32">
            <v>7.7872340425531927</v>
          </cell>
          <cell r="E32">
            <v>9.1272084805653719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DB7-5A6D-4412-9418-89BFEED4A2BB}">
  <sheetPr codeName="Tabelle1"/>
  <dimension ref="A1:E42"/>
  <sheetViews>
    <sheetView topLeftCell="A31" zoomScale="130" zoomScaleNormal="130" workbookViewId="0">
      <selection activeCell="E5" sqref="E5"/>
    </sheetView>
  </sheetViews>
  <sheetFormatPr defaultColWidth="11.42578125" defaultRowHeight="15" x14ac:dyDescent="0.25"/>
  <cols>
    <col min="1" max="1" width="22.28515625" customWidth="1"/>
    <col min="3" max="3" width="27.28515625" bestFit="1" customWidth="1"/>
  </cols>
  <sheetData>
    <row r="1" spans="1:5" x14ac:dyDescent="0.25">
      <c r="A1" s="10" t="s">
        <v>11</v>
      </c>
      <c r="B1" s="10"/>
      <c r="C1" s="10"/>
      <c r="D1" s="9" t="s">
        <v>141</v>
      </c>
      <c r="E1" s="9"/>
    </row>
    <row r="2" spans="1:5" x14ac:dyDescent="0.25">
      <c r="A2" t="s">
        <v>0</v>
      </c>
      <c r="B2">
        <v>250</v>
      </c>
      <c r="C2" t="s">
        <v>3</v>
      </c>
    </row>
    <row r="3" spans="1:5" x14ac:dyDescent="0.25">
      <c r="A3" t="s">
        <v>1</v>
      </c>
      <c r="B3">
        <v>250</v>
      </c>
      <c r="C3" t="s">
        <v>3</v>
      </c>
    </row>
    <row r="4" spans="1:5" x14ac:dyDescent="0.25">
      <c r="A4" t="s">
        <v>2</v>
      </c>
      <c r="B4">
        <v>5</v>
      </c>
      <c r="C4" t="s">
        <v>3</v>
      </c>
    </row>
    <row r="5" spans="1:5" x14ac:dyDescent="0.25">
      <c r="A5" t="s">
        <v>13</v>
      </c>
      <c r="B5">
        <v>1.75</v>
      </c>
      <c r="C5" t="s">
        <v>3</v>
      </c>
    </row>
    <row r="6" spans="1:5" x14ac:dyDescent="0.25">
      <c r="A6" t="s">
        <v>49</v>
      </c>
      <c r="B6">
        <v>100</v>
      </c>
      <c r="C6" t="s">
        <v>7</v>
      </c>
    </row>
    <row r="7" spans="1:5" x14ac:dyDescent="0.25">
      <c r="A7" t="s">
        <v>50</v>
      </c>
      <c r="B7">
        <v>20</v>
      </c>
      <c r="C7" t="s">
        <v>51</v>
      </c>
    </row>
    <row r="8" spans="1:5" x14ac:dyDescent="0.25">
      <c r="A8" t="s">
        <v>59</v>
      </c>
      <c r="B8">
        <v>60</v>
      </c>
      <c r="C8" t="s">
        <v>16</v>
      </c>
    </row>
    <row r="9" spans="1:5" x14ac:dyDescent="0.25">
      <c r="A9" t="s">
        <v>56</v>
      </c>
      <c r="B9">
        <v>0</v>
      </c>
      <c r="C9" t="s">
        <v>57</v>
      </c>
    </row>
    <row r="11" spans="1:5" x14ac:dyDescent="0.25">
      <c r="A11" t="s">
        <v>4</v>
      </c>
      <c r="B11">
        <v>25</v>
      </c>
      <c r="C11" t="s">
        <v>3</v>
      </c>
    </row>
    <row r="12" spans="1:5" x14ac:dyDescent="0.25">
      <c r="A12" t="s">
        <v>5</v>
      </c>
      <c r="B12">
        <v>20</v>
      </c>
      <c r="C12" t="s">
        <v>3</v>
      </c>
      <c r="D12" s="9" t="s">
        <v>73</v>
      </c>
      <c r="E12" s="9"/>
    </row>
    <row r="13" spans="1:5" x14ac:dyDescent="0.25">
      <c r="A13" t="s">
        <v>6</v>
      </c>
      <c r="B13">
        <v>5</v>
      </c>
      <c r="C13" t="s">
        <v>7</v>
      </c>
      <c r="D13" s="1">
        <f>B12/(B11/B13)*PI()/4*B5^2</f>
        <v>9.6211275016187408</v>
      </c>
      <c r="E13" t="s">
        <v>19</v>
      </c>
    </row>
    <row r="14" spans="1:5" x14ac:dyDescent="0.25">
      <c r="A14" t="s">
        <v>52</v>
      </c>
      <c r="B14">
        <v>15</v>
      </c>
      <c r="C14" t="s">
        <v>3</v>
      </c>
    </row>
    <row r="15" spans="1:5" x14ac:dyDescent="0.25">
      <c r="A15" t="s">
        <v>8</v>
      </c>
      <c r="B15">
        <v>8</v>
      </c>
      <c r="C15" t="s">
        <v>3</v>
      </c>
    </row>
    <row r="16" spans="1:5" x14ac:dyDescent="0.25">
      <c r="A16" t="s">
        <v>9</v>
      </c>
      <c r="B16">
        <v>60</v>
      </c>
      <c r="C16" t="s">
        <v>7</v>
      </c>
    </row>
    <row r="18" spans="1:3" x14ac:dyDescent="0.25">
      <c r="A18" t="s">
        <v>53</v>
      </c>
      <c r="B18">
        <v>10</v>
      </c>
      <c r="C18" t="s">
        <v>3</v>
      </c>
    </row>
    <row r="19" spans="1:3" x14ac:dyDescent="0.25">
      <c r="A19" t="s">
        <v>54</v>
      </c>
      <c r="B19">
        <v>200</v>
      </c>
      <c r="C19" t="s">
        <v>3</v>
      </c>
    </row>
    <row r="21" spans="1:3" x14ac:dyDescent="0.25">
      <c r="A21" t="s">
        <v>10</v>
      </c>
      <c r="B21">
        <v>1</v>
      </c>
      <c r="C21" t="s">
        <v>22</v>
      </c>
    </row>
    <row r="22" spans="1:3" x14ac:dyDescent="0.25">
      <c r="A22" t="s">
        <v>63</v>
      </c>
      <c r="B22">
        <v>40</v>
      </c>
      <c r="C22" t="s">
        <v>3</v>
      </c>
    </row>
    <row r="23" spans="1:3" x14ac:dyDescent="0.25">
      <c r="A23" t="s">
        <v>64</v>
      </c>
      <c r="B23">
        <v>30</v>
      </c>
      <c r="C23" t="s">
        <v>3</v>
      </c>
    </row>
    <row r="25" spans="1:3" x14ac:dyDescent="0.25">
      <c r="A25" s="10" t="s">
        <v>12</v>
      </c>
      <c r="B25" s="10"/>
      <c r="C25" s="10"/>
    </row>
    <row r="26" spans="1:3" x14ac:dyDescent="0.25">
      <c r="A26" s="11" t="s">
        <v>40</v>
      </c>
      <c r="B26" s="11"/>
    </row>
    <row r="27" spans="1:3" x14ac:dyDescent="0.25">
      <c r="A27" t="s">
        <v>18</v>
      </c>
      <c r="B27">
        <v>2</v>
      </c>
      <c r="C27" t="s">
        <v>19</v>
      </c>
    </row>
    <row r="28" spans="1:3" x14ac:dyDescent="0.25">
      <c r="A28" t="s">
        <v>15</v>
      </c>
      <c r="B28">
        <v>2</v>
      </c>
      <c r="C28" t="s">
        <v>19</v>
      </c>
    </row>
    <row r="29" spans="1:3" x14ac:dyDescent="0.25">
      <c r="A29" t="s">
        <v>21</v>
      </c>
      <c r="B29">
        <v>8</v>
      </c>
    </row>
    <row r="30" spans="1:3" x14ac:dyDescent="0.25">
      <c r="A30" t="s">
        <v>20</v>
      </c>
      <c r="B30">
        <f>B27+(B29-1)*B28</f>
        <v>16</v>
      </c>
      <c r="C30" t="s">
        <v>19</v>
      </c>
    </row>
    <row r="32" spans="1:3" x14ac:dyDescent="0.25">
      <c r="A32" s="9" t="s">
        <v>41</v>
      </c>
      <c r="B32" s="9"/>
    </row>
    <row r="33" spans="1:4" x14ac:dyDescent="0.25">
      <c r="A33" t="s">
        <v>14</v>
      </c>
      <c r="B33">
        <v>220</v>
      </c>
      <c r="C33" t="s">
        <v>16</v>
      </c>
    </row>
    <row r="34" spans="1:4" x14ac:dyDescent="0.25">
      <c r="A34" t="s">
        <v>15</v>
      </c>
      <c r="B34">
        <v>10</v>
      </c>
      <c r="C34" t="s">
        <v>17</v>
      </c>
    </row>
    <row r="35" spans="1:4" x14ac:dyDescent="0.25">
      <c r="A35" t="s">
        <v>21</v>
      </c>
      <c r="B35">
        <v>3</v>
      </c>
      <c r="D35" t="s">
        <v>75</v>
      </c>
    </row>
    <row r="36" spans="1:4" x14ac:dyDescent="0.25">
      <c r="A36" t="s">
        <v>20</v>
      </c>
      <c r="B36">
        <f>B33-(B35-1)*B34</f>
        <v>200</v>
      </c>
      <c r="C36" t="s">
        <v>16</v>
      </c>
    </row>
    <row r="38" spans="1:4" x14ac:dyDescent="0.25">
      <c r="A38" t="s">
        <v>65</v>
      </c>
      <c r="B38" s="8" t="s">
        <v>130</v>
      </c>
      <c r="C38" s="8"/>
    </row>
    <row r="41" spans="1:4" x14ac:dyDescent="0.25">
      <c r="A41" t="s">
        <v>139</v>
      </c>
      <c r="B41">
        <f>(B4*2)+((B11+B14)*B35)+(B22*(B35-1))</f>
        <v>210</v>
      </c>
      <c r="C41" t="str">
        <f>IF(B41&gt;B2,"ERROR","OK")</f>
        <v>OK</v>
      </c>
    </row>
    <row r="42" spans="1:4" x14ac:dyDescent="0.25">
      <c r="A42" t="s">
        <v>140</v>
      </c>
      <c r="B42">
        <f>(B4*2)+(B23*B29)</f>
        <v>250</v>
      </c>
      <c r="C42" t="str">
        <f>IF(B42&gt;B3,"ERROR","OK")</f>
        <v>OK</v>
      </c>
    </row>
  </sheetData>
  <mergeCells count="7">
    <mergeCell ref="B38:C38"/>
    <mergeCell ref="D12:E12"/>
    <mergeCell ref="A1:C1"/>
    <mergeCell ref="A25:C25"/>
    <mergeCell ref="A26:B26"/>
    <mergeCell ref="A32:B32"/>
    <mergeCell ref="D1:E1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GCode">
                <anchor moveWithCells="1" sizeWithCells="1">
                  <from>
                    <xdr:col>0</xdr:col>
                    <xdr:colOff>457200</xdr:colOff>
                    <xdr:row>44</xdr:row>
                    <xdr:rowOff>47625</xdr:rowOff>
                  </from>
                  <to>
                    <xdr:col>2</xdr:col>
                    <xdr:colOff>1123950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7FA5B-D727-42B9-8C3F-E9AAAE37D670}">
  <sheetPr codeName="Tabelle2"/>
  <dimension ref="A1:A441"/>
  <sheetViews>
    <sheetView workbookViewId="0">
      <selection activeCell="E7" sqref="E7"/>
    </sheetView>
  </sheetViews>
  <sheetFormatPr defaultColWidth="11.42578125" defaultRowHeight="15" x14ac:dyDescent="0.25"/>
  <cols>
    <col min="1" max="1" width="61.28515625" customWidth="1"/>
  </cols>
  <sheetData>
    <row r="1" spans="1:1" x14ac:dyDescent="0.25">
      <c r="A1" t="s">
        <v>119</v>
      </c>
    </row>
    <row r="2" spans="1:1" x14ac:dyDescent="0.25">
      <c r="A2" t="s">
        <v>120</v>
      </c>
    </row>
    <row r="4" spans="1:1" x14ac:dyDescent="0.25">
      <c r="A4" t="s">
        <v>67</v>
      </c>
    </row>
    <row r="5" spans="1:1" x14ac:dyDescent="0.25">
      <c r="A5" t="s">
        <v>131</v>
      </c>
    </row>
    <row r="6" spans="1:1" x14ac:dyDescent="0.25">
      <c r="A6" t="s">
        <v>146</v>
      </c>
    </row>
    <row r="7" spans="1:1" x14ac:dyDescent="0.25">
      <c r="A7" t="s">
        <v>147</v>
      </c>
    </row>
    <row r="8" spans="1:1" x14ac:dyDescent="0.25">
      <c r="A8" t="s">
        <v>76</v>
      </c>
    </row>
    <row r="9" spans="1:1" x14ac:dyDescent="0.25">
      <c r="A9" t="s">
        <v>68</v>
      </c>
    </row>
    <row r="10" spans="1:1" x14ac:dyDescent="0.25">
      <c r="A10" t="s">
        <v>69</v>
      </c>
    </row>
    <row r="11" spans="1:1" x14ac:dyDescent="0.25">
      <c r="A11" t="s">
        <v>85</v>
      </c>
    </row>
    <row r="12" spans="1:1" x14ac:dyDescent="0.25">
      <c r="A12" t="s">
        <v>190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74</v>
      </c>
    </row>
    <row r="16" spans="1:1" x14ac:dyDescent="0.25">
      <c r="A16" t="s">
        <v>148</v>
      </c>
    </row>
    <row r="17" spans="1:1" x14ac:dyDescent="0.25">
      <c r="A17" t="s">
        <v>87</v>
      </c>
    </row>
    <row r="18" spans="1:1" x14ac:dyDescent="0.25">
      <c r="A18" t="s">
        <v>70</v>
      </c>
    </row>
    <row r="19" spans="1:1" x14ac:dyDescent="0.25">
      <c r="A19" t="s">
        <v>71</v>
      </c>
    </row>
    <row r="20" spans="1:1" x14ac:dyDescent="0.25">
      <c r="A20" t="s">
        <v>72</v>
      </c>
    </row>
    <row r="21" spans="1:1" x14ac:dyDescent="0.25">
      <c r="A21" t="s">
        <v>149</v>
      </c>
    </row>
    <row r="22" spans="1:1" x14ac:dyDescent="0.25">
      <c r="A22" t="s">
        <v>191</v>
      </c>
    </row>
    <row r="23" spans="1:1" x14ac:dyDescent="0.25">
      <c r="A23" t="s">
        <v>101</v>
      </c>
    </row>
    <row r="24" spans="1:1" x14ac:dyDescent="0.25">
      <c r="A24" t="s">
        <v>128</v>
      </c>
    </row>
    <row r="25" spans="1:1" x14ac:dyDescent="0.25">
      <c r="A25" t="s">
        <v>199</v>
      </c>
    </row>
    <row r="26" spans="1:1" x14ac:dyDescent="0.25">
      <c r="A26" t="s">
        <v>142</v>
      </c>
    </row>
    <row r="27" spans="1:1" x14ac:dyDescent="0.25">
      <c r="A27" t="s">
        <v>129</v>
      </c>
    </row>
    <row r="28" spans="1:1" x14ac:dyDescent="0.25">
      <c r="A28" t="s">
        <v>88</v>
      </c>
    </row>
    <row r="30" spans="1:1" x14ac:dyDescent="0.25">
      <c r="A30" t="s">
        <v>200</v>
      </c>
    </row>
    <row r="31" spans="1:1" x14ac:dyDescent="0.25">
      <c r="A31" t="s">
        <v>192</v>
      </c>
    </row>
    <row r="32" spans="1:1" x14ac:dyDescent="0.25">
      <c r="A32" t="s">
        <v>23</v>
      </c>
    </row>
    <row r="33" spans="1:1" x14ac:dyDescent="0.25">
      <c r="A33" t="s">
        <v>24</v>
      </c>
    </row>
    <row r="34" spans="1:1" x14ac:dyDescent="0.25">
      <c r="A34" t="s">
        <v>55</v>
      </c>
    </row>
    <row r="35" spans="1:1" x14ac:dyDescent="0.25">
      <c r="A35" t="s">
        <v>25</v>
      </c>
    </row>
    <row r="36" spans="1:1" x14ac:dyDescent="0.25">
      <c r="A36" t="s">
        <v>26</v>
      </c>
    </row>
    <row r="37" spans="1:1" x14ac:dyDescent="0.25">
      <c r="A37" t="s">
        <v>27</v>
      </c>
    </row>
    <row r="38" spans="1:1" x14ac:dyDescent="0.25">
      <c r="A38" t="s">
        <v>193</v>
      </c>
    </row>
    <row r="39" spans="1:1" x14ac:dyDescent="0.25">
      <c r="A39" t="s">
        <v>58</v>
      </c>
    </row>
    <row r="41" spans="1:1" x14ac:dyDescent="0.25">
      <c r="A41" t="s">
        <v>102</v>
      </c>
    </row>
    <row r="42" spans="1:1" x14ac:dyDescent="0.25">
      <c r="A42" t="s">
        <v>28</v>
      </c>
    </row>
    <row r="43" spans="1:1" x14ac:dyDescent="0.25">
      <c r="A43" t="s">
        <v>143</v>
      </c>
    </row>
    <row r="45" spans="1:1" x14ac:dyDescent="0.25">
      <c r="A45" t="s">
        <v>194</v>
      </c>
    </row>
    <row r="46" spans="1:1" x14ac:dyDescent="0.25">
      <c r="A46" t="s">
        <v>198</v>
      </c>
    </row>
    <row r="47" spans="1:1" x14ac:dyDescent="0.25">
      <c r="A47" t="s">
        <v>89</v>
      </c>
    </row>
    <row r="48" spans="1:1" x14ac:dyDescent="0.25">
      <c r="A48" t="s">
        <v>86</v>
      </c>
    </row>
    <row r="49" spans="1:1" x14ac:dyDescent="0.25">
      <c r="A49" t="s">
        <v>35</v>
      </c>
    </row>
    <row r="50" spans="1:1" x14ac:dyDescent="0.25">
      <c r="A50" t="s">
        <v>79</v>
      </c>
    </row>
    <row r="51" spans="1:1" x14ac:dyDescent="0.25">
      <c r="A51" t="s">
        <v>150</v>
      </c>
    </row>
    <row r="52" spans="1:1" x14ac:dyDescent="0.25">
      <c r="A52" t="s">
        <v>80</v>
      </c>
    </row>
    <row r="53" spans="1:1" x14ac:dyDescent="0.25">
      <c r="A53" t="s">
        <v>29</v>
      </c>
    </row>
    <row r="54" spans="1:1" x14ac:dyDescent="0.25">
      <c r="A54" t="s">
        <v>151</v>
      </c>
    </row>
    <row r="55" spans="1:1" x14ac:dyDescent="0.25">
      <c r="A55" t="s">
        <v>196</v>
      </c>
    </row>
    <row r="56" spans="1:1" x14ac:dyDescent="0.25">
      <c r="A56" t="s">
        <v>152</v>
      </c>
    </row>
    <row r="57" spans="1:1" x14ac:dyDescent="0.25">
      <c r="A57" t="s">
        <v>31</v>
      </c>
    </row>
    <row r="58" spans="1:1" x14ac:dyDescent="0.25">
      <c r="A58" t="s">
        <v>90</v>
      </c>
    </row>
    <row r="59" spans="1:1" x14ac:dyDescent="0.25">
      <c r="A59" t="s">
        <v>48</v>
      </c>
    </row>
    <row r="61" spans="1:1" x14ac:dyDescent="0.25">
      <c r="A61" t="s">
        <v>42</v>
      </c>
    </row>
    <row r="62" spans="1:1" x14ac:dyDescent="0.25">
      <c r="A62" t="s">
        <v>103</v>
      </c>
    </row>
    <row r="63" spans="1:1" x14ac:dyDescent="0.25">
      <c r="A63" t="s">
        <v>153</v>
      </c>
    </row>
    <row r="64" spans="1:1" x14ac:dyDescent="0.25">
      <c r="A64" t="s">
        <v>86</v>
      </c>
    </row>
    <row r="65" spans="1:1" x14ac:dyDescent="0.25">
      <c r="A65" t="s">
        <v>35</v>
      </c>
    </row>
    <row r="66" spans="1:1" x14ac:dyDescent="0.25">
      <c r="A66" t="s">
        <v>79</v>
      </c>
    </row>
    <row r="67" spans="1:1" x14ac:dyDescent="0.25">
      <c r="A67" t="s">
        <v>150</v>
      </c>
    </row>
    <row r="68" spans="1:1" x14ac:dyDescent="0.25">
      <c r="A68" t="s">
        <v>80</v>
      </c>
    </row>
    <row r="69" spans="1:1" x14ac:dyDescent="0.25">
      <c r="A69" t="s">
        <v>29</v>
      </c>
    </row>
    <row r="70" spans="1:1" x14ac:dyDescent="0.25">
      <c r="A70" t="s">
        <v>151</v>
      </c>
    </row>
    <row r="71" spans="1:1" x14ac:dyDescent="0.25">
      <c r="A71" t="s">
        <v>43</v>
      </c>
    </row>
    <row r="72" spans="1:1" x14ac:dyDescent="0.25">
      <c r="A72" t="s">
        <v>152</v>
      </c>
    </row>
    <row r="73" spans="1:1" x14ac:dyDescent="0.25">
      <c r="A73" t="s">
        <v>31</v>
      </c>
    </row>
    <row r="74" spans="1:1" x14ac:dyDescent="0.25">
      <c r="A74" t="s">
        <v>154</v>
      </c>
    </row>
    <row r="75" spans="1:1" x14ac:dyDescent="0.25">
      <c r="A75" t="s">
        <v>48</v>
      </c>
    </row>
    <row r="77" spans="1:1" x14ac:dyDescent="0.25">
      <c r="A77" t="s">
        <v>44</v>
      </c>
    </row>
    <row r="78" spans="1:1" x14ac:dyDescent="0.25">
      <c r="A78" t="s">
        <v>104</v>
      </c>
    </row>
    <row r="79" spans="1:1" x14ac:dyDescent="0.25">
      <c r="A79" t="s">
        <v>155</v>
      </c>
    </row>
    <row r="80" spans="1:1" x14ac:dyDescent="0.25">
      <c r="A80" t="s">
        <v>86</v>
      </c>
    </row>
    <row r="81" spans="1:1" x14ac:dyDescent="0.25">
      <c r="A81" t="s">
        <v>35</v>
      </c>
    </row>
    <row r="82" spans="1:1" x14ac:dyDescent="0.25">
      <c r="A82" t="s">
        <v>79</v>
      </c>
    </row>
    <row r="83" spans="1:1" x14ac:dyDescent="0.25">
      <c r="A83" t="s">
        <v>150</v>
      </c>
    </row>
    <row r="84" spans="1:1" x14ac:dyDescent="0.25">
      <c r="A84" t="s">
        <v>80</v>
      </c>
    </row>
    <row r="85" spans="1:1" x14ac:dyDescent="0.25">
      <c r="A85" t="s">
        <v>29</v>
      </c>
    </row>
    <row r="86" spans="1:1" x14ac:dyDescent="0.25">
      <c r="A86" t="s">
        <v>151</v>
      </c>
    </row>
    <row r="87" spans="1:1" x14ac:dyDescent="0.25">
      <c r="A87" t="s">
        <v>45</v>
      </c>
    </row>
    <row r="88" spans="1:1" x14ac:dyDescent="0.25">
      <c r="A88" t="s">
        <v>152</v>
      </c>
    </row>
    <row r="89" spans="1:1" x14ac:dyDescent="0.25">
      <c r="A89" t="s">
        <v>31</v>
      </c>
    </row>
    <row r="90" spans="1:1" x14ac:dyDescent="0.25">
      <c r="A90" t="s">
        <v>156</v>
      </c>
    </row>
    <row r="91" spans="1:1" x14ac:dyDescent="0.25">
      <c r="A91" t="s">
        <v>48</v>
      </c>
    </row>
    <row r="93" spans="1:1" x14ac:dyDescent="0.25">
      <c r="A93" t="s">
        <v>46</v>
      </c>
    </row>
    <row r="94" spans="1:1" x14ac:dyDescent="0.25">
      <c r="A94" t="s">
        <v>105</v>
      </c>
    </row>
    <row r="95" spans="1:1" x14ac:dyDescent="0.25">
      <c r="A95" t="s">
        <v>157</v>
      </c>
    </row>
    <row r="96" spans="1:1" x14ac:dyDescent="0.25">
      <c r="A96" t="s">
        <v>86</v>
      </c>
    </row>
    <row r="97" spans="1:1" x14ac:dyDescent="0.25">
      <c r="A97" t="s">
        <v>35</v>
      </c>
    </row>
    <row r="98" spans="1:1" x14ac:dyDescent="0.25">
      <c r="A98" t="s">
        <v>79</v>
      </c>
    </row>
    <row r="99" spans="1:1" x14ac:dyDescent="0.25">
      <c r="A99" t="s">
        <v>150</v>
      </c>
    </row>
    <row r="100" spans="1:1" x14ac:dyDescent="0.25">
      <c r="A100" t="s">
        <v>80</v>
      </c>
    </row>
    <row r="101" spans="1:1" x14ac:dyDescent="0.25">
      <c r="A101" t="s">
        <v>29</v>
      </c>
    </row>
    <row r="102" spans="1:1" x14ac:dyDescent="0.25">
      <c r="A102" t="s">
        <v>151</v>
      </c>
    </row>
    <row r="103" spans="1:1" x14ac:dyDescent="0.25">
      <c r="A103" t="s">
        <v>47</v>
      </c>
    </row>
    <row r="104" spans="1:1" x14ac:dyDescent="0.25">
      <c r="A104" t="s">
        <v>152</v>
      </c>
    </row>
    <row r="105" spans="1:1" x14ac:dyDescent="0.25">
      <c r="A105" t="s">
        <v>31</v>
      </c>
    </row>
    <row r="106" spans="1:1" x14ac:dyDescent="0.25">
      <c r="A106" t="s">
        <v>158</v>
      </c>
    </row>
    <row r="107" spans="1:1" x14ac:dyDescent="0.25">
      <c r="A107" t="s">
        <v>48</v>
      </c>
    </row>
    <row r="109" spans="1:1" x14ac:dyDescent="0.25">
      <c r="A109" t="s">
        <v>36</v>
      </c>
    </row>
    <row r="110" spans="1:1" x14ac:dyDescent="0.25">
      <c r="A110" t="s">
        <v>106</v>
      </c>
    </row>
    <row r="111" spans="1:1" x14ac:dyDescent="0.25">
      <c r="A111" t="s">
        <v>159</v>
      </c>
    </row>
    <row r="112" spans="1:1" x14ac:dyDescent="0.25">
      <c r="A112" t="s">
        <v>86</v>
      </c>
    </row>
    <row r="113" spans="1:1" x14ac:dyDescent="0.25">
      <c r="A113" t="s">
        <v>35</v>
      </c>
    </row>
    <row r="114" spans="1:1" x14ac:dyDescent="0.25">
      <c r="A114" t="s">
        <v>79</v>
      </c>
    </row>
    <row r="115" spans="1:1" x14ac:dyDescent="0.25">
      <c r="A115" t="s">
        <v>150</v>
      </c>
    </row>
    <row r="116" spans="1:1" x14ac:dyDescent="0.25">
      <c r="A116" t="s">
        <v>80</v>
      </c>
    </row>
    <row r="117" spans="1:1" x14ac:dyDescent="0.25">
      <c r="A117" t="s">
        <v>29</v>
      </c>
    </row>
    <row r="118" spans="1:1" x14ac:dyDescent="0.25">
      <c r="A118" t="s">
        <v>151</v>
      </c>
    </row>
    <row r="119" spans="1:1" x14ac:dyDescent="0.25">
      <c r="A119" t="s">
        <v>30</v>
      </c>
    </row>
    <row r="120" spans="1:1" x14ac:dyDescent="0.25">
      <c r="A120" t="s">
        <v>152</v>
      </c>
    </row>
    <row r="121" spans="1:1" x14ac:dyDescent="0.25">
      <c r="A121" t="s">
        <v>31</v>
      </c>
    </row>
    <row r="122" spans="1:1" x14ac:dyDescent="0.25">
      <c r="A122" t="s">
        <v>160</v>
      </c>
    </row>
    <row r="123" spans="1:1" x14ac:dyDescent="0.25">
      <c r="A123" t="s">
        <v>48</v>
      </c>
    </row>
    <row r="125" spans="1:1" x14ac:dyDescent="0.25">
      <c r="A125" t="s">
        <v>37</v>
      </c>
    </row>
    <row r="126" spans="1:1" x14ac:dyDescent="0.25">
      <c r="A126" t="s">
        <v>107</v>
      </c>
    </row>
    <row r="127" spans="1:1" x14ac:dyDescent="0.25">
      <c r="A127" t="s">
        <v>91</v>
      </c>
    </row>
    <row r="128" spans="1:1" x14ac:dyDescent="0.25">
      <c r="A128" t="s">
        <v>86</v>
      </c>
    </row>
    <row r="129" spans="1:1" x14ac:dyDescent="0.25">
      <c r="A129" t="s">
        <v>35</v>
      </c>
    </row>
    <row r="130" spans="1:1" x14ac:dyDescent="0.25">
      <c r="A130" t="s">
        <v>79</v>
      </c>
    </row>
    <row r="131" spans="1:1" x14ac:dyDescent="0.25">
      <c r="A131" t="s">
        <v>150</v>
      </c>
    </row>
    <row r="132" spans="1:1" x14ac:dyDescent="0.25">
      <c r="A132" t="s">
        <v>80</v>
      </c>
    </row>
    <row r="133" spans="1:1" x14ac:dyDescent="0.25">
      <c r="A133" t="s">
        <v>29</v>
      </c>
    </row>
    <row r="134" spans="1:1" x14ac:dyDescent="0.25">
      <c r="A134" t="s">
        <v>151</v>
      </c>
    </row>
    <row r="135" spans="1:1" x14ac:dyDescent="0.25">
      <c r="A135" t="s">
        <v>32</v>
      </c>
    </row>
    <row r="136" spans="1:1" x14ac:dyDescent="0.25">
      <c r="A136" t="s">
        <v>152</v>
      </c>
    </row>
    <row r="137" spans="1:1" x14ac:dyDescent="0.25">
      <c r="A137" t="s">
        <v>31</v>
      </c>
    </row>
    <row r="138" spans="1:1" x14ac:dyDescent="0.25">
      <c r="A138" t="s">
        <v>92</v>
      </c>
    </row>
    <row r="139" spans="1:1" x14ac:dyDescent="0.25">
      <c r="A139" t="s">
        <v>48</v>
      </c>
    </row>
    <row r="141" spans="1:1" x14ac:dyDescent="0.25">
      <c r="A141" t="s">
        <v>38</v>
      </c>
    </row>
    <row r="142" spans="1:1" x14ac:dyDescent="0.25">
      <c r="A142" t="s">
        <v>108</v>
      </c>
    </row>
    <row r="143" spans="1:1" x14ac:dyDescent="0.25">
      <c r="A143" t="s">
        <v>161</v>
      </c>
    </row>
    <row r="144" spans="1:1" x14ac:dyDescent="0.25">
      <c r="A144" t="s">
        <v>86</v>
      </c>
    </row>
    <row r="145" spans="1:1" x14ac:dyDescent="0.25">
      <c r="A145" t="s">
        <v>35</v>
      </c>
    </row>
    <row r="146" spans="1:1" x14ac:dyDescent="0.25">
      <c r="A146" t="s">
        <v>79</v>
      </c>
    </row>
    <row r="147" spans="1:1" x14ac:dyDescent="0.25">
      <c r="A147" t="s">
        <v>150</v>
      </c>
    </row>
    <row r="148" spans="1:1" x14ac:dyDescent="0.25">
      <c r="A148" t="s">
        <v>80</v>
      </c>
    </row>
    <row r="149" spans="1:1" x14ac:dyDescent="0.25">
      <c r="A149" t="s">
        <v>29</v>
      </c>
    </row>
    <row r="150" spans="1:1" x14ac:dyDescent="0.25">
      <c r="A150" t="s">
        <v>151</v>
      </c>
    </row>
    <row r="151" spans="1:1" x14ac:dyDescent="0.25">
      <c r="A151" t="s">
        <v>33</v>
      </c>
    </row>
    <row r="152" spans="1:1" x14ac:dyDescent="0.25">
      <c r="A152" t="s">
        <v>152</v>
      </c>
    </row>
    <row r="153" spans="1:1" x14ac:dyDescent="0.25">
      <c r="A153" t="s">
        <v>31</v>
      </c>
    </row>
    <row r="154" spans="1:1" x14ac:dyDescent="0.25">
      <c r="A154" t="s">
        <v>162</v>
      </c>
    </row>
    <row r="155" spans="1:1" x14ac:dyDescent="0.25">
      <c r="A155" t="s">
        <v>48</v>
      </c>
    </row>
    <row r="157" spans="1:1" x14ac:dyDescent="0.25">
      <c r="A157" t="s">
        <v>39</v>
      </c>
    </row>
    <row r="158" spans="1:1" x14ac:dyDescent="0.25">
      <c r="A158" t="s">
        <v>109</v>
      </c>
    </row>
    <row r="159" spans="1:1" x14ac:dyDescent="0.25">
      <c r="A159" t="s">
        <v>163</v>
      </c>
    </row>
    <row r="160" spans="1:1" x14ac:dyDescent="0.25">
      <c r="A160" t="s">
        <v>86</v>
      </c>
    </row>
    <row r="161" spans="1:1" x14ac:dyDescent="0.25">
      <c r="A161" t="s">
        <v>35</v>
      </c>
    </row>
    <row r="162" spans="1:1" x14ac:dyDescent="0.25">
      <c r="A162" t="s">
        <v>79</v>
      </c>
    </row>
    <row r="163" spans="1:1" x14ac:dyDescent="0.25">
      <c r="A163" t="s">
        <v>150</v>
      </c>
    </row>
    <row r="164" spans="1:1" x14ac:dyDescent="0.25">
      <c r="A164" t="s">
        <v>80</v>
      </c>
    </row>
    <row r="165" spans="1:1" x14ac:dyDescent="0.25">
      <c r="A165" t="s">
        <v>29</v>
      </c>
    </row>
    <row r="166" spans="1:1" x14ac:dyDescent="0.25">
      <c r="A166" t="s">
        <v>151</v>
      </c>
    </row>
    <row r="167" spans="1:1" x14ac:dyDescent="0.25">
      <c r="A167" t="s">
        <v>34</v>
      </c>
    </row>
    <row r="168" spans="1:1" x14ac:dyDescent="0.25">
      <c r="A168" t="s">
        <v>152</v>
      </c>
    </row>
    <row r="169" spans="1:1" x14ac:dyDescent="0.25">
      <c r="A169" t="s">
        <v>31</v>
      </c>
    </row>
    <row r="170" spans="1:1" x14ac:dyDescent="0.25">
      <c r="A170" t="s">
        <v>164</v>
      </c>
    </row>
    <row r="171" spans="1:1" x14ac:dyDescent="0.25">
      <c r="A171" t="s">
        <v>48</v>
      </c>
    </row>
    <row r="173" spans="1:1" x14ac:dyDescent="0.25">
      <c r="A173" t="s">
        <v>201</v>
      </c>
    </row>
    <row r="174" spans="1:1" x14ac:dyDescent="0.25">
      <c r="A174" t="s">
        <v>28</v>
      </c>
    </row>
    <row r="175" spans="1:1" x14ac:dyDescent="0.25">
      <c r="A175" t="s">
        <v>202</v>
      </c>
    </row>
    <row r="177" spans="1:1" x14ac:dyDescent="0.25">
      <c r="A177" t="s">
        <v>194</v>
      </c>
    </row>
    <row r="178" spans="1:1" x14ac:dyDescent="0.25">
      <c r="A178" t="s">
        <v>197</v>
      </c>
    </row>
    <row r="179" spans="1:1" x14ac:dyDescent="0.25">
      <c r="A179" t="s">
        <v>93</v>
      </c>
    </row>
    <row r="180" spans="1:1" x14ac:dyDescent="0.25">
      <c r="A180" t="s">
        <v>86</v>
      </c>
    </row>
    <row r="181" spans="1:1" x14ac:dyDescent="0.25">
      <c r="A181" t="s">
        <v>35</v>
      </c>
    </row>
    <row r="182" spans="1:1" x14ac:dyDescent="0.25">
      <c r="A182" t="s">
        <v>81</v>
      </c>
    </row>
    <row r="183" spans="1:1" x14ac:dyDescent="0.25">
      <c r="A183" t="s">
        <v>150</v>
      </c>
    </row>
    <row r="184" spans="1:1" x14ac:dyDescent="0.25">
      <c r="A184" t="s">
        <v>82</v>
      </c>
    </row>
    <row r="185" spans="1:1" x14ac:dyDescent="0.25">
      <c r="A185" t="s">
        <v>29</v>
      </c>
    </row>
    <row r="186" spans="1:1" x14ac:dyDescent="0.25">
      <c r="A186" t="s">
        <v>151</v>
      </c>
    </row>
    <row r="187" spans="1:1" x14ac:dyDescent="0.25">
      <c r="A187" t="s">
        <v>196</v>
      </c>
    </row>
    <row r="188" spans="1:1" x14ac:dyDescent="0.25">
      <c r="A188" t="s">
        <v>152</v>
      </c>
    </row>
    <row r="189" spans="1:1" x14ac:dyDescent="0.25">
      <c r="A189" t="s">
        <v>31</v>
      </c>
    </row>
    <row r="190" spans="1:1" x14ac:dyDescent="0.25">
      <c r="A190" t="s">
        <v>94</v>
      </c>
    </row>
    <row r="191" spans="1:1" x14ac:dyDescent="0.25">
      <c r="A191" t="s">
        <v>48</v>
      </c>
    </row>
    <row r="193" spans="1:1" x14ac:dyDescent="0.25">
      <c r="A193" t="s">
        <v>42</v>
      </c>
    </row>
    <row r="194" spans="1:1" x14ac:dyDescent="0.25">
      <c r="A194" t="s">
        <v>132</v>
      </c>
    </row>
    <row r="195" spans="1:1" x14ac:dyDescent="0.25">
      <c r="A195" t="s">
        <v>165</v>
      </c>
    </row>
    <row r="196" spans="1:1" x14ac:dyDescent="0.25">
      <c r="A196" t="s">
        <v>86</v>
      </c>
    </row>
    <row r="197" spans="1:1" x14ac:dyDescent="0.25">
      <c r="A197" t="s">
        <v>35</v>
      </c>
    </row>
    <row r="198" spans="1:1" x14ac:dyDescent="0.25">
      <c r="A198" t="s">
        <v>81</v>
      </c>
    </row>
    <row r="199" spans="1:1" x14ac:dyDescent="0.25">
      <c r="A199" t="s">
        <v>150</v>
      </c>
    </row>
    <row r="200" spans="1:1" x14ac:dyDescent="0.25">
      <c r="A200" t="s">
        <v>82</v>
      </c>
    </row>
    <row r="201" spans="1:1" x14ac:dyDescent="0.25">
      <c r="A201" t="s">
        <v>29</v>
      </c>
    </row>
    <row r="202" spans="1:1" x14ac:dyDescent="0.25">
      <c r="A202" t="s">
        <v>151</v>
      </c>
    </row>
    <row r="203" spans="1:1" x14ac:dyDescent="0.25">
      <c r="A203" t="s">
        <v>43</v>
      </c>
    </row>
    <row r="204" spans="1:1" x14ac:dyDescent="0.25">
      <c r="A204" t="s">
        <v>152</v>
      </c>
    </row>
    <row r="205" spans="1:1" x14ac:dyDescent="0.25">
      <c r="A205" t="s">
        <v>31</v>
      </c>
    </row>
    <row r="206" spans="1:1" x14ac:dyDescent="0.25">
      <c r="A206" t="s">
        <v>166</v>
      </c>
    </row>
    <row r="207" spans="1:1" x14ac:dyDescent="0.25">
      <c r="A207" t="s">
        <v>48</v>
      </c>
    </row>
    <row r="209" spans="1:1" x14ac:dyDescent="0.25">
      <c r="A209" t="s">
        <v>44</v>
      </c>
    </row>
    <row r="210" spans="1:1" x14ac:dyDescent="0.25">
      <c r="A210" t="s">
        <v>133</v>
      </c>
    </row>
    <row r="211" spans="1:1" x14ac:dyDescent="0.25">
      <c r="A211" t="s">
        <v>167</v>
      </c>
    </row>
    <row r="212" spans="1:1" x14ac:dyDescent="0.25">
      <c r="A212" t="s">
        <v>86</v>
      </c>
    </row>
    <row r="213" spans="1:1" x14ac:dyDescent="0.25">
      <c r="A213" t="s">
        <v>35</v>
      </c>
    </row>
    <row r="214" spans="1:1" x14ac:dyDescent="0.25">
      <c r="A214" t="s">
        <v>81</v>
      </c>
    </row>
    <row r="215" spans="1:1" x14ac:dyDescent="0.25">
      <c r="A215" t="s">
        <v>150</v>
      </c>
    </row>
    <row r="216" spans="1:1" x14ac:dyDescent="0.25">
      <c r="A216" t="s">
        <v>82</v>
      </c>
    </row>
    <row r="217" spans="1:1" x14ac:dyDescent="0.25">
      <c r="A217" t="s">
        <v>29</v>
      </c>
    </row>
    <row r="218" spans="1:1" x14ac:dyDescent="0.25">
      <c r="A218" t="s">
        <v>151</v>
      </c>
    </row>
    <row r="219" spans="1:1" x14ac:dyDescent="0.25">
      <c r="A219" t="s">
        <v>45</v>
      </c>
    </row>
    <row r="220" spans="1:1" x14ac:dyDescent="0.25">
      <c r="A220" t="s">
        <v>152</v>
      </c>
    </row>
    <row r="221" spans="1:1" x14ac:dyDescent="0.25">
      <c r="A221" t="s">
        <v>31</v>
      </c>
    </row>
    <row r="222" spans="1:1" x14ac:dyDescent="0.25">
      <c r="A222" t="s">
        <v>168</v>
      </c>
    </row>
    <row r="223" spans="1:1" x14ac:dyDescent="0.25">
      <c r="A223" t="s">
        <v>48</v>
      </c>
    </row>
    <row r="225" spans="1:1" x14ac:dyDescent="0.25">
      <c r="A225" t="s">
        <v>46</v>
      </c>
    </row>
    <row r="226" spans="1:1" x14ac:dyDescent="0.25">
      <c r="A226" t="s">
        <v>134</v>
      </c>
    </row>
    <row r="227" spans="1:1" x14ac:dyDescent="0.25">
      <c r="A227" t="s">
        <v>169</v>
      </c>
    </row>
    <row r="228" spans="1:1" x14ac:dyDescent="0.25">
      <c r="A228" t="s">
        <v>86</v>
      </c>
    </row>
    <row r="229" spans="1:1" x14ac:dyDescent="0.25">
      <c r="A229" t="s">
        <v>35</v>
      </c>
    </row>
    <row r="230" spans="1:1" x14ac:dyDescent="0.25">
      <c r="A230" t="s">
        <v>81</v>
      </c>
    </row>
    <row r="231" spans="1:1" x14ac:dyDescent="0.25">
      <c r="A231" t="s">
        <v>150</v>
      </c>
    </row>
    <row r="232" spans="1:1" x14ac:dyDescent="0.25">
      <c r="A232" t="s">
        <v>82</v>
      </c>
    </row>
    <row r="233" spans="1:1" x14ac:dyDescent="0.25">
      <c r="A233" t="s">
        <v>29</v>
      </c>
    </row>
    <row r="234" spans="1:1" x14ac:dyDescent="0.25">
      <c r="A234" t="s">
        <v>151</v>
      </c>
    </row>
    <row r="235" spans="1:1" x14ac:dyDescent="0.25">
      <c r="A235" t="s">
        <v>47</v>
      </c>
    </row>
    <row r="236" spans="1:1" x14ac:dyDescent="0.25">
      <c r="A236" t="s">
        <v>152</v>
      </c>
    </row>
    <row r="237" spans="1:1" x14ac:dyDescent="0.25">
      <c r="A237" t="s">
        <v>31</v>
      </c>
    </row>
    <row r="238" spans="1:1" x14ac:dyDescent="0.25">
      <c r="A238" t="s">
        <v>170</v>
      </c>
    </row>
    <row r="239" spans="1:1" x14ac:dyDescent="0.25">
      <c r="A239" t="s">
        <v>48</v>
      </c>
    </row>
    <row r="241" spans="1:1" x14ac:dyDescent="0.25">
      <c r="A241" t="s">
        <v>36</v>
      </c>
    </row>
    <row r="242" spans="1:1" x14ac:dyDescent="0.25">
      <c r="A242" t="s">
        <v>135</v>
      </c>
    </row>
    <row r="243" spans="1:1" x14ac:dyDescent="0.25">
      <c r="A243" t="s">
        <v>171</v>
      </c>
    </row>
    <row r="244" spans="1:1" x14ac:dyDescent="0.25">
      <c r="A244" t="s">
        <v>86</v>
      </c>
    </row>
    <row r="245" spans="1:1" x14ac:dyDescent="0.25">
      <c r="A245" t="s">
        <v>35</v>
      </c>
    </row>
    <row r="246" spans="1:1" x14ac:dyDescent="0.25">
      <c r="A246" t="s">
        <v>81</v>
      </c>
    </row>
    <row r="247" spans="1:1" x14ac:dyDescent="0.25">
      <c r="A247" t="s">
        <v>150</v>
      </c>
    </row>
    <row r="248" spans="1:1" x14ac:dyDescent="0.25">
      <c r="A248" t="s">
        <v>82</v>
      </c>
    </row>
    <row r="249" spans="1:1" x14ac:dyDescent="0.25">
      <c r="A249" t="s">
        <v>29</v>
      </c>
    </row>
    <row r="250" spans="1:1" x14ac:dyDescent="0.25">
      <c r="A250" t="s">
        <v>151</v>
      </c>
    </row>
    <row r="251" spans="1:1" x14ac:dyDescent="0.25">
      <c r="A251" t="s">
        <v>30</v>
      </c>
    </row>
    <row r="252" spans="1:1" x14ac:dyDescent="0.25">
      <c r="A252" t="s">
        <v>152</v>
      </c>
    </row>
    <row r="253" spans="1:1" x14ac:dyDescent="0.25">
      <c r="A253" t="s">
        <v>31</v>
      </c>
    </row>
    <row r="254" spans="1:1" x14ac:dyDescent="0.25">
      <c r="A254" t="s">
        <v>172</v>
      </c>
    </row>
    <row r="255" spans="1:1" x14ac:dyDescent="0.25">
      <c r="A255" t="s">
        <v>48</v>
      </c>
    </row>
    <row r="257" spans="1:1" x14ac:dyDescent="0.25">
      <c r="A257" t="s">
        <v>37</v>
      </c>
    </row>
    <row r="258" spans="1:1" x14ac:dyDescent="0.25">
      <c r="A258" t="s">
        <v>136</v>
      </c>
    </row>
    <row r="259" spans="1:1" x14ac:dyDescent="0.25">
      <c r="A259" t="s">
        <v>95</v>
      </c>
    </row>
    <row r="260" spans="1:1" x14ac:dyDescent="0.25">
      <c r="A260" t="s">
        <v>86</v>
      </c>
    </row>
    <row r="261" spans="1:1" x14ac:dyDescent="0.25">
      <c r="A261" t="s">
        <v>35</v>
      </c>
    </row>
    <row r="262" spans="1:1" x14ac:dyDescent="0.25">
      <c r="A262" t="s">
        <v>81</v>
      </c>
    </row>
    <row r="263" spans="1:1" x14ac:dyDescent="0.25">
      <c r="A263" t="s">
        <v>150</v>
      </c>
    </row>
    <row r="264" spans="1:1" x14ac:dyDescent="0.25">
      <c r="A264" t="s">
        <v>82</v>
      </c>
    </row>
    <row r="265" spans="1:1" x14ac:dyDescent="0.25">
      <c r="A265" t="s">
        <v>29</v>
      </c>
    </row>
    <row r="266" spans="1:1" x14ac:dyDescent="0.25">
      <c r="A266" t="s">
        <v>151</v>
      </c>
    </row>
    <row r="267" spans="1:1" x14ac:dyDescent="0.25">
      <c r="A267" t="s">
        <v>32</v>
      </c>
    </row>
    <row r="268" spans="1:1" x14ac:dyDescent="0.25">
      <c r="A268" t="s">
        <v>152</v>
      </c>
    </row>
    <row r="269" spans="1:1" x14ac:dyDescent="0.25">
      <c r="A269" t="s">
        <v>31</v>
      </c>
    </row>
    <row r="270" spans="1:1" x14ac:dyDescent="0.25">
      <c r="A270" t="s">
        <v>96</v>
      </c>
    </row>
    <row r="271" spans="1:1" x14ac:dyDescent="0.25">
      <c r="A271" t="s">
        <v>48</v>
      </c>
    </row>
    <row r="273" spans="1:1" x14ac:dyDescent="0.25">
      <c r="A273" t="s">
        <v>38</v>
      </c>
    </row>
    <row r="274" spans="1:1" x14ac:dyDescent="0.25">
      <c r="A274" t="s">
        <v>137</v>
      </c>
    </row>
    <row r="275" spans="1:1" x14ac:dyDescent="0.25">
      <c r="A275" t="s">
        <v>173</v>
      </c>
    </row>
    <row r="276" spans="1:1" x14ac:dyDescent="0.25">
      <c r="A276" t="s">
        <v>86</v>
      </c>
    </row>
    <row r="277" spans="1:1" x14ac:dyDescent="0.25">
      <c r="A277" t="s">
        <v>35</v>
      </c>
    </row>
    <row r="278" spans="1:1" x14ac:dyDescent="0.25">
      <c r="A278" t="s">
        <v>81</v>
      </c>
    </row>
    <row r="279" spans="1:1" x14ac:dyDescent="0.25">
      <c r="A279" t="s">
        <v>150</v>
      </c>
    </row>
    <row r="280" spans="1:1" x14ac:dyDescent="0.25">
      <c r="A280" t="s">
        <v>82</v>
      </c>
    </row>
    <row r="281" spans="1:1" x14ac:dyDescent="0.25">
      <c r="A281" t="s">
        <v>29</v>
      </c>
    </row>
    <row r="282" spans="1:1" x14ac:dyDescent="0.25">
      <c r="A282" t="s">
        <v>151</v>
      </c>
    </row>
    <row r="283" spans="1:1" x14ac:dyDescent="0.25">
      <c r="A283" t="s">
        <v>33</v>
      </c>
    </row>
    <row r="284" spans="1:1" x14ac:dyDescent="0.25">
      <c r="A284" t="s">
        <v>152</v>
      </c>
    </row>
    <row r="285" spans="1:1" x14ac:dyDescent="0.25">
      <c r="A285" t="s">
        <v>31</v>
      </c>
    </row>
    <row r="286" spans="1:1" x14ac:dyDescent="0.25">
      <c r="A286" t="s">
        <v>174</v>
      </c>
    </row>
    <row r="287" spans="1:1" x14ac:dyDescent="0.25">
      <c r="A287" t="s">
        <v>48</v>
      </c>
    </row>
    <row r="289" spans="1:1" x14ac:dyDescent="0.25">
      <c r="A289" t="s">
        <v>39</v>
      </c>
    </row>
    <row r="290" spans="1:1" x14ac:dyDescent="0.25">
      <c r="A290" t="s">
        <v>138</v>
      </c>
    </row>
    <row r="291" spans="1:1" x14ac:dyDescent="0.25">
      <c r="A291" t="s">
        <v>175</v>
      </c>
    </row>
    <row r="292" spans="1:1" x14ac:dyDescent="0.25">
      <c r="A292" t="s">
        <v>86</v>
      </c>
    </row>
    <row r="293" spans="1:1" x14ac:dyDescent="0.25">
      <c r="A293" t="s">
        <v>35</v>
      </c>
    </row>
    <row r="294" spans="1:1" x14ac:dyDescent="0.25">
      <c r="A294" t="s">
        <v>81</v>
      </c>
    </row>
    <row r="295" spans="1:1" x14ac:dyDescent="0.25">
      <c r="A295" t="s">
        <v>150</v>
      </c>
    </row>
    <row r="296" spans="1:1" x14ac:dyDescent="0.25">
      <c r="A296" t="s">
        <v>82</v>
      </c>
    </row>
    <row r="297" spans="1:1" x14ac:dyDescent="0.25">
      <c r="A297" t="s">
        <v>29</v>
      </c>
    </row>
    <row r="298" spans="1:1" x14ac:dyDescent="0.25">
      <c r="A298" t="s">
        <v>151</v>
      </c>
    </row>
    <row r="299" spans="1:1" x14ac:dyDescent="0.25">
      <c r="A299" t="s">
        <v>34</v>
      </c>
    </row>
    <row r="300" spans="1:1" x14ac:dyDescent="0.25">
      <c r="A300" t="s">
        <v>152</v>
      </c>
    </row>
    <row r="301" spans="1:1" x14ac:dyDescent="0.25">
      <c r="A301" t="s">
        <v>31</v>
      </c>
    </row>
    <row r="302" spans="1:1" x14ac:dyDescent="0.25">
      <c r="A302" t="s">
        <v>176</v>
      </c>
    </row>
    <row r="303" spans="1:1" x14ac:dyDescent="0.25">
      <c r="A303" t="s">
        <v>48</v>
      </c>
    </row>
    <row r="305" spans="1:1" x14ac:dyDescent="0.25">
      <c r="A305" t="s">
        <v>203</v>
      </c>
    </row>
    <row r="306" spans="1:1" x14ac:dyDescent="0.25">
      <c r="A306" t="s">
        <v>28</v>
      </c>
    </row>
    <row r="307" spans="1:1" x14ac:dyDescent="0.25">
      <c r="A307" t="s">
        <v>204</v>
      </c>
    </row>
    <row r="309" spans="1:1" x14ac:dyDescent="0.25">
      <c r="A309" t="s">
        <v>194</v>
      </c>
    </row>
    <row r="310" spans="1:1" x14ac:dyDescent="0.25">
      <c r="A310" t="s">
        <v>195</v>
      </c>
    </row>
    <row r="311" spans="1:1" x14ac:dyDescent="0.25">
      <c r="A311" t="s">
        <v>97</v>
      </c>
    </row>
    <row r="312" spans="1:1" x14ac:dyDescent="0.25">
      <c r="A312" t="s">
        <v>86</v>
      </c>
    </row>
    <row r="313" spans="1:1" x14ac:dyDescent="0.25">
      <c r="A313" t="s">
        <v>35</v>
      </c>
    </row>
    <row r="314" spans="1:1" x14ac:dyDescent="0.25">
      <c r="A314" t="s">
        <v>83</v>
      </c>
    </row>
    <row r="315" spans="1:1" x14ac:dyDescent="0.25">
      <c r="A315" t="s">
        <v>150</v>
      </c>
    </row>
    <row r="316" spans="1:1" x14ac:dyDescent="0.25">
      <c r="A316" t="s">
        <v>84</v>
      </c>
    </row>
    <row r="317" spans="1:1" x14ac:dyDescent="0.25">
      <c r="A317" t="s">
        <v>29</v>
      </c>
    </row>
    <row r="318" spans="1:1" x14ac:dyDescent="0.25">
      <c r="A318" t="s">
        <v>151</v>
      </c>
    </row>
    <row r="319" spans="1:1" x14ac:dyDescent="0.25">
      <c r="A319" t="s">
        <v>196</v>
      </c>
    </row>
    <row r="320" spans="1:1" x14ac:dyDescent="0.25">
      <c r="A320" t="s">
        <v>152</v>
      </c>
    </row>
    <row r="321" spans="1:1" x14ac:dyDescent="0.25">
      <c r="A321" t="s">
        <v>31</v>
      </c>
    </row>
    <row r="322" spans="1:1" x14ac:dyDescent="0.25">
      <c r="A322" t="s">
        <v>98</v>
      </c>
    </row>
    <row r="323" spans="1:1" x14ac:dyDescent="0.25">
      <c r="A323" t="s">
        <v>48</v>
      </c>
    </row>
    <row r="325" spans="1:1" x14ac:dyDescent="0.25">
      <c r="A325" t="s">
        <v>42</v>
      </c>
    </row>
    <row r="326" spans="1:1" x14ac:dyDescent="0.25">
      <c r="A326" t="s">
        <v>121</v>
      </c>
    </row>
    <row r="327" spans="1:1" x14ac:dyDescent="0.25">
      <c r="A327" t="s">
        <v>177</v>
      </c>
    </row>
    <row r="328" spans="1:1" x14ac:dyDescent="0.25">
      <c r="A328" t="s">
        <v>86</v>
      </c>
    </row>
    <row r="329" spans="1:1" x14ac:dyDescent="0.25">
      <c r="A329" t="s">
        <v>35</v>
      </c>
    </row>
    <row r="330" spans="1:1" x14ac:dyDescent="0.25">
      <c r="A330" t="s">
        <v>83</v>
      </c>
    </row>
    <row r="331" spans="1:1" x14ac:dyDescent="0.25">
      <c r="A331" t="s">
        <v>150</v>
      </c>
    </row>
    <row r="332" spans="1:1" x14ac:dyDescent="0.25">
      <c r="A332" t="s">
        <v>84</v>
      </c>
    </row>
    <row r="333" spans="1:1" x14ac:dyDescent="0.25">
      <c r="A333" t="s">
        <v>29</v>
      </c>
    </row>
    <row r="334" spans="1:1" x14ac:dyDescent="0.25">
      <c r="A334" t="s">
        <v>151</v>
      </c>
    </row>
    <row r="335" spans="1:1" x14ac:dyDescent="0.25">
      <c r="A335" t="s">
        <v>43</v>
      </c>
    </row>
    <row r="336" spans="1:1" x14ac:dyDescent="0.25">
      <c r="A336" t="s">
        <v>152</v>
      </c>
    </row>
    <row r="337" spans="1:1" x14ac:dyDescent="0.25">
      <c r="A337" t="s">
        <v>31</v>
      </c>
    </row>
    <row r="338" spans="1:1" x14ac:dyDescent="0.25">
      <c r="A338" t="s">
        <v>178</v>
      </c>
    </row>
    <row r="339" spans="1:1" x14ac:dyDescent="0.25">
      <c r="A339" t="s">
        <v>48</v>
      </c>
    </row>
    <row r="341" spans="1:1" x14ac:dyDescent="0.25">
      <c r="A341" t="s">
        <v>44</v>
      </c>
    </row>
    <row r="342" spans="1:1" x14ac:dyDescent="0.25">
      <c r="A342" t="s">
        <v>122</v>
      </c>
    </row>
    <row r="343" spans="1:1" x14ac:dyDescent="0.25">
      <c r="A343" t="s">
        <v>179</v>
      </c>
    </row>
    <row r="344" spans="1:1" x14ac:dyDescent="0.25">
      <c r="A344" t="s">
        <v>86</v>
      </c>
    </row>
    <row r="345" spans="1:1" x14ac:dyDescent="0.25">
      <c r="A345" t="s">
        <v>35</v>
      </c>
    </row>
    <row r="346" spans="1:1" x14ac:dyDescent="0.25">
      <c r="A346" t="s">
        <v>83</v>
      </c>
    </row>
    <row r="347" spans="1:1" x14ac:dyDescent="0.25">
      <c r="A347" t="s">
        <v>150</v>
      </c>
    </row>
    <row r="348" spans="1:1" x14ac:dyDescent="0.25">
      <c r="A348" t="s">
        <v>84</v>
      </c>
    </row>
    <row r="349" spans="1:1" x14ac:dyDescent="0.25">
      <c r="A349" t="s">
        <v>29</v>
      </c>
    </row>
    <row r="350" spans="1:1" x14ac:dyDescent="0.25">
      <c r="A350" t="s">
        <v>151</v>
      </c>
    </row>
    <row r="351" spans="1:1" x14ac:dyDescent="0.25">
      <c r="A351" t="s">
        <v>45</v>
      </c>
    </row>
    <row r="352" spans="1:1" x14ac:dyDescent="0.25">
      <c r="A352" t="s">
        <v>152</v>
      </c>
    </row>
    <row r="353" spans="1:1" x14ac:dyDescent="0.25">
      <c r="A353" t="s">
        <v>31</v>
      </c>
    </row>
    <row r="354" spans="1:1" x14ac:dyDescent="0.25">
      <c r="A354" t="s">
        <v>180</v>
      </c>
    </row>
    <row r="355" spans="1:1" x14ac:dyDescent="0.25">
      <c r="A355" t="s">
        <v>48</v>
      </c>
    </row>
    <row r="357" spans="1:1" x14ac:dyDescent="0.25">
      <c r="A357" t="s">
        <v>46</v>
      </c>
    </row>
    <row r="358" spans="1:1" x14ac:dyDescent="0.25">
      <c r="A358" t="s">
        <v>123</v>
      </c>
    </row>
    <row r="359" spans="1:1" x14ac:dyDescent="0.25">
      <c r="A359" t="s">
        <v>181</v>
      </c>
    </row>
    <row r="360" spans="1:1" x14ac:dyDescent="0.25">
      <c r="A360" t="s">
        <v>86</v>
      </c>
    </row>
    <row r="361" spans="1:1" x14ac:dyDescent="0.25">
      <c r="A361" t="s">
        <v>35</v>
      </c>
    </row>
    <row r="362" spans="1:1" x14ac:dyDescent="0.25">
      <c r="A362" t="s">
        <v>83</v>
      </c>
    </row>
    <row r="363" spans="1:1" x14ac:dyDescent="0.25">
      <c r="A363" t="s">
        <v>150</v>
      </c>
    </row>
    <row r="364" spans="1:1" x14ac:dyDescent="0.25">
      <c r="A364" t="s">
        <v>84</v>
      </c>
    </row>
    <row r="365" spans="1:1" x14ac:dyDescent="0.25">
      <c r="A365" t="s">
        <v>29</v>
      </c>
    </row>
    <row r="366" spans="1:1" x14ac:dyDescent="0.25">
      <c r="A366" t="s">
        <v>151</v>
      </c>
    </row>
    <row r="367" spans="1:1" x14ac:dyDescent="0.25">
      <c r="A367" t="s">
        <v>47</v>
      </c>
    </row>
    <row r="368" spans="1:1" x14ac:dyDescent="0.25">
      <c r="A368" t="s">
        <v>152</v>
      </c>
    </row>
    <row r="369" spans="1:1" x14ac:dyDescent="0.25">
      <c r="A369" t="s">
        <v>31</v>
      </c>
    </row>
    <row r="370" spans="1:1" x14ac:dyDescent="0.25">
      <c r="A370" t="s">
        <v>182</v>
      </c>
    </row>
    <row r="371" spans="1:1" x14ac:dyDescent="0.25">
      <c r="A371" t="s">
        <v>48</v>
      </c>
    </row>
    <row r="373" spans="1:1" x14ac:dyDescent="0.25">
      <c r="A373" t="s">
        <v>36</v>
      </c>
    </row>
    <row r="374" spans="1:1" x14ac:dyDescent="0.25">
      <c r="A374" t="s">
        <v>124</v>
      </c>
    </row>
    <row r="375" spans="1:1" x14ac:dyDescent="0.25">
      <c r="A375" t="s">
        <v>183</v>
      </c>
    </row>
    <row r="376" spans="1:1" x14ac:dyDescent="0.25">
      <c r="A376" t="s">
        <v>86</v>
      </c>
    </row>
    <row r="377" spans="1:1" x14ac:dyDescent="0.25">
      <c r="A377" t="s">
        <v>35</v>
      </c>
    </row>
    <row r="378" spans="1:1" x14ac:dyDescent="0.25">
      <c r="A378" t="s">
        <v>83</v>
      </c>
    </row>
    <row r="379" spans="1:1" x14ac:dyDescent="0.25">
      <c r="A379" t="s">
        <v>150</v>
      </c>
    </row>
    <row r="380" spans="1:1" x14ac:dyDescent="0.25">
      <c r="A380" t="s">
        <v>84</v>
      </c>
    </row>
    <row r="381" spans="1:1" x14ac:dyDescent="0.25">
      <c r="A381" t="s">
        <v>29</v>
      </c>
    </row>
    <row r="382" spans="1:1" x14ac:dyDescent="0.25">
      <c r="A382" t="s">
        <v>151</v>
      </c>
    </row>
    <row r="383" spans="1:1" x14ac:dyDescent="0.25">
      <c r="A383" t="s">
        <v>30</v>
      </c>
    </row>
    <row r="384" spans="1:1" x14ac:dyDescent="0.25">
      <c r="A384" t="s">
        <v>152</v>
      </c>
    </row>
    <row r="385" spans="1:1" x14ac:dyDescent="0.25">
      <c r="A385" t="s">
        <v>31</v>
      </c>
    </row>
    <row r="386" spans="1:1" x14ac:dyDescent="0.25">
      <c r="A386" t="s">
        <v>184</v>
      </c>
    </row>
    <row r="387" spans="1:1" x14ac:dyDescent="0.25">
      <c r="A387" t="s">
        <v>48</v>
      </c>
    </row>
    <row r="389" spans="1:1" x14ac:dyDescent="0.25">
      <c r="A389" t="s">
        <v>37</v>
      </c>
    </row>
    <row r="390" spans="1:1" x14ac:dyDescent="0.25">
      <c r="A390" t="s">
        <v>125</v>
      </c>
    </row>
    <row r="391" spans="1:1" x14ac:dyDescent="0.25">
      <c r="A391" t="s">
        <v>99</v>
      </c>
    </row>
    <row r="392" spans="1:1" x14ac:dyDescent="0.25">
      <c r="A392" t="s">
        <v>86</v>
      </c>
    </row>
    <row r="393" spans="1:1" x14ac:dyDescent="0.25">
      <c r="A393" t="s">
        <v>35</v>
      </c>
    </row>
    <row r="394" spans="1:1" x14ac:dyDescent="0.25">
      <c r="A394" t="s">
        <v>83</v>
      </c>
    </row>
    <row r="395" spans="1:1" x14ac:dyDescent="0.25">
      <c r="A395" t="s">
        <v>150</v>
      </c>
    </row>
    <row r="396" spans="1:1" x14ac:dyDescent="0.25">
      <c r="A396" t="s">
        <v>84</v>
      </c>
    </row>
    <row r="397" spans="1:1" x14ac:dyDescent="0.25">
      <c r="A397" t="s">
        <v>29</v>
      </c>
    </row>
    <row r="398" spans="1:1" x14ac:dyDescent="0.25">
      <c r="A398" t="s">
        <v>151</v>
      </c>
    </row>
    <row r="399" spans="1:1" x14ac:dyDescent="0.25">
      <c r="A399" t="s">
        <v>32</v>
      </c>
    </row>
    <row r="400" spans="1:1" x14ac:dyDescent="0.25">
      <c r="A400" t="s">
        <v>152</v>
      </c>
    </row>
    <row r="401" spans="1:1" x14ac:dyDescent="0.25">
      <c r="A401" t="s">
        <v>31</v>
      </c>
    </row>
    <row r="402" spans="1:1" x14ac:dyDescent="0.25">
      <c r="A402" t="s">
        <v>100</v>
      </c>
    </row>
    <row r="403" spans="1:1" x14ac:dyDescent="0.25">
      <c r="A403" t="s">
        <v>48</v>
      </c>
    </row>
    <row r="405" spans="1:1" x14ac:dyDescent="0.25">
      <c r="A405" t="s">
        <v>38</v>
      </c>
    </row>
    <row r="406" spans="1:1" x14ac:dyDescent="0.25">
      <c r="A406" t="s">
        <v>126</v>
      </c>
    </row>
    <row r="407" spans="1:1" x14ac:dyDescent="0.25">
      <c r="A407" t="s">
        <v>185</v>
      </c>
    </row>
    <row r="408" spans="1:1" x14ac:dyDescent="0.25">
      <c r="A408" t="s">
        <v>86</v>
      </c>
    </row>
    <row r="409" spans="1:1" x14ac:dyDescent="0.25">
      <c r="A409" t="s">
        <v>35</v>
      </c>
    </row>
    <row r="410" spans="1:1" x14ac:dyDescent="0.25">
      <c r="A410" t="s">
        <v>83</v>
      </c>
    </row>
    <row r="411" spans="1:1" x14ac:dyDescent="0.25">
      <c r="A411" t="s">
        <v>150</v>
      </c>
    </row>
    <row r="412" spans="1:1" x14ac:dyDescent="0.25">
      <c r="A412" t="s">
        <v>84</v>
      </c>
    </row>
    <row r="413" spans="1:1" x14ac:dyDescent="0.25">
      <c r="A413" t="s">
        <v>29</v>
      </c>
    </row>
    <row r="414" spans="1:1" x14ac:dyDescent="0.25">
      <c r="A414" t="s">
        <v>151</v>
      </c>
    </row>
    <row r="415" spans="1:1" x14ac:dyDescent="0.25">
      <c r="A415" t="s">
        <v>33</v>
      </c>
    </row>
    <row r="416" spans="1:1" x14ac:dyDescent="0.25">
      <c r="A416" t="s">
        <v>152</v>
      </c>
    </row>
    <row r="417" spans="1:1" x14ac:dyDescent="0.25">
      <c r="A417" t="s">
        <v>31</v>
      </c>
    </row>
    <row r="418" spans="1:1" x14ac:dyDescent="0.25">
      <c r="A418" t="s">
        <v>186</v>
      </c>
    </row>
    <row r="419" spans="1:1" x14ac:dyDescent="0.25">
      <c r="A419" t="s">
        <v>48</v>
      </c>
    </row>
    <row r="421" spans="1:1" x14ac:dyDescent="0.25">
      <c r="A421" t="s">
        <v>39</v>
      </c>
    </row>
    <row r="422" spans="1:1" x14ac:dyDescent="0.25">
      <c r="A422" t="s">
        <v>127</v>
      </c>
    </row>
    <row r="423" spans="1:1" x14ac:dyDescent="0.25">
      <c r="A423" t="s">
        <v>187</v>
      </c>
    </row>
    <row r="424" spans="1:1" x14ac:dyDescent="0.25">
      <c r="A424" t="s">
        <v>86</v>
      </c>
    </row>
    <row r="425" spans="1:1" x14ac:dyDescent="0.25">
      <c r="A425" t="s">
        <v>35</v>
      </c>
    </row>
    <row r="426" spans="1:1" x14ac:dyDescent="0.25">
      <c r="A426" t="s">
        <v>83</v>
      </c>
    </row>
    <row r="427" spans="1:1" x14ac:dyDescent="0.25">
      <c r="A427" t="s">
        <v>150</v>
      </c>
    </row>
    <row r="428" spans="1:1" x14ac:dyDescent="0.25">
      <c r="A428" t="s">
        <v>84</v>
      </c>
    </row>
    <row r="429" spans="1:1" x14ac:dyDescent="0.25">
      <c r="A429" t="s">
        <v>29</v>
      </c>
    </row>
    <row r="430" spans="1:1" x14ac:dyDescent="0.25">
      <c r="A430" t="s">
        <v>151</v>
      </c>
    </row>
    <row r="431" spans="1:1" x14ac:dyDescent="0.25">
      <c r="A431" t="s">
        <v>34</v>
      </c>
    </row>
    <row r="432" spans="1:1" x14ac:dyDescent="0.25">
      <c r="A432" t="s">
        <v>152</v>
      </c>
    </row>
    <row r="433" spans="1:1" x14ac:dyDescent="0.25">
      <c r="A433" t="s">
        <v>31</v>
      </c>
    </row>
    <row r="434" spans="1:1" x14ac:dyDescent="0.25">
      <c r="A434" t="s">
        <v>188</v>
      </c>
    </row>
    <row r="435" spans="1:1" x14ac:dyDescent="0.25">
      <c r="A435" t="s">
        <v>48</v>
      </c>
    </row>
    <row r="437" spans="1:1" x14ac:dyDescent="0.25">
      <c r="A437" t="s">
        <v>66</v>
      </c>
    </row>
    <row r="438" spans="1:1" x14ac:dyDescent="0.25">
      <c r="A438" t="s">
        <v>189</v>
      </c>
    </row>
    <row r="439" spans="1:1" x14ac:dyDescent="0.25">
      <c r="A439" t="s">
        <v>60</v>
      </c>
    </row>
    <row r="440" spans="1:1" x14ac:dyDescent="0.25">
      <c r="A440" t="s">
        <v>61</v>
      </c>
    </row>
    <row r="441" spans="1:1" x14ac:dyDescent="0.25">
      <c r="A441" t="s">
        <v>62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1805-85FA-4CCE-95FE-DBF22E2849ED}">
  <sheetPr codeName="Tabelle3"/>
  <dimension ref="A1:G31"/>
  <sheetViews>
    <sheetView topLeftCell="A4" zoomScale="130" zoomScaleNormal="130" workbookViewId="0">
      <selection activeCell="C15" sqref="C15"/>
    </sheetView>
  </sheetViews>
  <sheetFormatPr defaultColWidth="11.42578125" defaultRowHeight="15" x14ac:dyDescent="0.25"/>
  <cols>
    <col min="1" max="1" width="3.5703125" bestFit="1" customWidth="1"/>
    <col min="2" max="2" width="19.140625" customWidth="1"/>
  </cols>
  <sheetData>
    <row r="1" spans="1:7" x14ac:dyDescent="0.25">
      <c r="C1" s="10" t="s">
        <v>118</v>
      </c>
      <c r="D1" s="10"/>
      <c r="E1" s="10"/>
      <c r="F1" s="4"/>
    </row>
    <row r="2" spans="1:7" x14ac:dyDescent="0.25">
      <c r="B2" s="4" t="s">
        <v>110</v>
      </c>
      <c r="C2" s="9" t="s">
        <v>144</v>
      </c>
      <c r="D2" s="9"/>
      <c r="E2" s="9"/>
    </row>
    <row r="3" spans="1:7" x14ac:dyDescent="0.25">
      <c r="B3" s="4" t="s">
        <v>117</v>
      </c>
      <c r="C3" s="13" t="s">
        <v>145</v>
      </c>
      <c r="D3" s="13"/>
      <c r="E3" s="13"/>
    </row>
    <row r="4" spans="1:7" x14ac:dyDescent="0.25">
      <c r="B4" s="4" t="s">
        <v>111</v>
      </c>
      <c r="C4">
        <v>220</v>
      </c>
      <c r="D4">
        <v>210</v>
      </c>
      <c r="E4">
        <v>200</v>
      </c>
    </row>
    <row r="5" spans="1:7" x14ac:dyDescent="0.25">
      <c r="B5" s="6" t="s">
        <v>112</v>
      </c>
      <c r="C5" s="11" t="s">
        <v>113</v>
      </c>
      <c r="D5" s="11"/>
      <c r="E5" s="11"/>
    </row>
    <row r="6" spans="1:7" ht="14.45" customHeight="1" x14ac:dyDescent="0.25">
      <c r="A6" s="12" t="s">
        <v>114</v>
      </c>
      <c r="B6" s="5">
        <v>2</v>
      </c>
      <c r="C6" s="3">
        <v>0.58699999999999997</v>
      </c>
      <c r="D6" s="3">
        <v>0.56200000000000006</v>
      </c>
      <c r="E6" s="3">
        <v>0.57999999999999996</v>
      </c>
    </row>
    <row r="7" spans="1:7" x14ac:dyDescent="0.25">
      <c r="A7" s="12"/>
      <c r="B7" s="5">
        <v>4</v>
      </c>
      <c r="C7" s="3">
        <v>0.57799999999999996</v>
      </c>
      <c r="D7" s="3">
        <v>0.56899999999999995</v>
      </c>
      <c r="E7" s="3">
        <v>0.57399999999999995</v>
      </c>
    </row>
    <row r="8" spans="1:7" x14ac:dyDescent="0.25">
      <c r="A8" s="12"/>
      <c r="B8" s="5">
        <v>6</v>
      </c>
      <c r="C8" s="3">
        <v>0.57799999999999996</v>
      </c>
      <c r="D8" s="3">
        <v>0.56599999999999995</v>
      </c>
      <c r="E8" s="3">
        <v>0.56599999999999995</v>
      </c>
    </row>
    <row r="9" spans="1:7" x14ac:dyDescent="0.25">
      <c r="A9" s="12"/>
      <c r="B9" s="5">
        <v>8</v>
      </c>
      <c r="C9" s="3">
        <v>0.57999999999999996</v>
      </c>
      <c r="D9" s="3">
        <v>0.56799999999999995</v>
      </c>
      <c r="E9" s="3">
        <v>0.55300000000000005</v>
      </c>
    </row>
    <row r="10" spans="1:7" x14ac:dyDescent="0.25">
      <c r="A10" s="12"/>
      <c r="B10" s="5">
        <v>10</v>
      </c>
      <c r="C10" s="3">
        <v>0.56899999999999995</v>
      </c>
      <c r="D10" s="3">
        <v>0.56599999999999995</v>
      </c>
      <c r="E10" s="3">
        <v>0.55700000000000005</v>
      </c>
      <c r="G10" s="3"/>
    </row>
    <row r="11" spans="1:7" x14ac:dyDescent="0.25">
      <c r="A11" s="12"/>
      <c r="B11" s="5">
        <v>12</v>
      </c>
      <c r="C11" s="3">
        <v>0.57999999999999996</v>
      </c>
      <c r="D11" s="3">
        <v>0.55700000000000005</v>
      </c>
      <c r="E11" s="3">
        <v>0.54100000000000004</v>
      </c>
      <c r="G11" s="3"/>
    </row>
    <row r="12" spans="1:7" x14ac:dyDescent="0.25">
      <c r="A12" s="12"/>
      <c r="B12" s="5">
        <v>14</v>
      </c>
      <c r="C12" s="3">
        <v>0.56399999999999995</v>
      </c>
      <c r="D12" s="3">
        <v>0.55400000000000005</v>
      </c>
      <c r="E12" s="3">
        <v>0.53300000000000003</v>
      </c>
      <c r="G12" s="3"/>
    </row>
    <row r="13" spans="1:7" x14ac:dyDescent="0.25">
      <c r="A13" s="12"/>
      <c r="B13" s="5">
        <v>16</v>
      </c>
      <c r="C13" s="3">
        <v>0.54600000000000004</v>
      </c>
      <c r="D13" s="3">
        <v>0.54200000000000004</v>
      </c>
      <c r="E13" s="3">
        <v>0.51600000000000001</v>
      </c>
      <c r="G13" s="3"/>
    </row>
    <row r="14" spans="1:7" x14ac:dyDescent="0.25">
      <c r="B14" s="5"/>
      <c r="G14" s="3"/>
    </row>
    <row r="15" spans="1:7" ht="14.45" customHeight="1" x14ac:dyDescent="0.25">
      <c r="A15" s="12" t="s">
        <v>115</v>
      </c>
      <c r="B15" s="5">
        <f>B6</f>
        <v>2</v>
      </c>
      <c r="C15" s="7">
        <f t="shared" ref="C15:C22" si="0">C6/C$6-1</f>
        <v>0</v>
      </c>
      <c r="D15" s="7">
        <f t="shared" ref="D15:E15" si="1">D6/D$6-1</f>
        <v>0</v>
      </c>
      <c r="E15" s="7">
        <f t="shared" si="1"/>
        <v>0</v>
      </c>
      <c r="F15" s="7"/>
      <c r="G15" s="3"/>
    </row>
    <row r="16" spans="1:7" x14ac:dyDescent="0.25">
      <c r="A16" s="12"/>
      <c r="B16" s="5">
        <f t="shared" ref="B16:B22" si="2">B7</f>
        <v>4</v>
      </c>
      <c r="C16" s="7">
        <f t="shared" si="0"/>
        <v>-1.5332197614991494E-2</v>
      </c>
      <c r="D16" s="7">
        <f t="shared" ref="D16:E22" si="3">D7/D$6-1</f>
        <v>1.245551601423478E-2</v>
      </c>
      <c r="E16" s="7">
        <f t="shared" si="3"/>
        <v>-1.0344827586206917E-2</v>
      </c>
      <c r="F16" s="7"/>
      <c r="G16" s="3"/>
    </row>
    <row r="17" spans="1:6" x14ac:dyDescent="0.25">
      <c r="A17" s="12"/>
      <c r="B17" s="5">
        <f t="shared" si="2"/>
        <v>6</v>
      </c>
      <c r="C17" s="7">
        <f t="shared" si="0"/>
        <v>-1.5332197614991494E-2</v>
      </c>
      <c r="D17" s="7">
        <f t="shared" si="3"/>
        <v>7.1174377224196839E-3</v>
      </c>
      <c r="E17" s="7">
        <f t="shared" si="3"/>
        <v>-2.4137931034482807E-2</v>
      </c>
      <c r="F17" s="7"/>
    </row>
    <row r="18" spans="1:6" x14ac:dyDescent="0.25">
      <c r="A18" s="12"/>
      <c r="B18" s="5">
        <f t="shared" si="2"/>
        <v>8</v>
      </c>
      <c r="C18" s="7">
        <f t="shared" si="0"/>
        <v>-1.1925042589437829E-2</v>
      </c>
      <c r="D18" s="7">
        <f t="shared" si="3"/>
        <v>1.0676156583629748E-2</v>
      </c>
      <c r="E18" s="7">
        <f t="shared" si="3"/>
        <v>-4.655172413793085E-2</v>
      </c>
      <c r="F18" s="7"/>
    </row>
    <row r="19" spans="1:6" x14ac:dyDescent="0.25">
      <c r="A19" s="12"/>
      <c r="B19" s="5">
        <f t="shared" si="2"/>
        <v>10</v>
      </c>
      <c r="C19" s="7">
        <f t="shared" si="0"/>
        <v>-3.0664395229982988E-2</v>
      </c>
      <c r="D19" s="7">
        <f t="shared" si="3"/>
        <v>7.1174377224196839E-3</v>
      </c>
      <c r="E19" s="7">
        <f t="shared" si="3"/>
        <v>-3.9655172413792905E-2</v>
      </c>
      <c r="F19" s="7"/>
    </row>
    <row r="20" spans="1:6" x14ac:dyDescent="0.25">
      <c r="A20" s="12"/>
      <c r="B20" s="5">
        <f t="shared" si="2"/>
        <v>12</v>
      </c>
      <c r="C20" s="7">
        <f t="shared" si="0"/>
        <v>-1.1925042589437829E-2</v>
      </c>
      <c r="D20" s="7">
        <f t="shared" si="3"/>
        <v>-8.8967971530249379E-3</v>
      </c>
      <c r="E20" s="7">
        <f t="shared" si="3"/>
        <v>-6.7241379310344684E-2</v>
      </c>
      <c r="F20" s="7"/>
    </row>
    <row r="21" spans="1:6" x14ac:dyDescent="0.25">
      <c r="A21" s="12"/>
      <c r="B21" s="5">
        <f t="shared" si="2"/>
        <v>14</v>
      </c>
      <c r="C21" s="7">
        <f t="shared" si="0"/>
        <v>-3.9182282793867151E-2</v>
      </c>
      <c r="D21" s="7">
        <f t="shared" si="3"/>
        <v>-1.4234875444839923E-2</v>
      </c>
      <c r="E21" s="7">
        <f t="shared" si="3"/>
        <v>-8.1034482758620574E-2</v>
      </c>
      <c r="F21" s="7"/>
    </row>
    <row r="22" spans="1:6" x14ac:dyDescent="0.25">
      <c r="A22" s="12"/>
      <c r="B22" s="5">
        <f t="shared" si="2"/>
        <v>16</v>
      </c>
      <c r="C22" s="7">
        <f t="shared" si="0"/>
        <v>-6.9846678023849917E-2</v>
      </c>
      <c r="D22" s="7">
        <f t="shared" si="3"/>
        <v>-3.5587188612099641E-2</v>
      </c>
      <c r="E22" s="7">
        <f t="shared" si="3"/>
        <v>-0.11034482758620678</v>
      </c>
      <c r="F22" s="7"/>
    </row>
    <row r="23" spans="1:6" x14ac:dyDescent="0.25">
      <c r="B23" s="5"/>
    </row>
    <row r="24" spans="1:6" ht="14.45" customHeight="1" x14ac:dyDescent="0.25">
      <c r="A24" s="12" t="s">
        <v>116</v>
      </c>
      <c r="B24" s="5">
        <f>B6</f>
        <v>2</v>
      </c>
      <c r="C24" s="2">
        <f t="shared" ref="C24:E31" si="4">$B24*(C15+1)</f>
        <v>2</v>
      </c>
      <c r="D24" s="2">
        <f t="shared" si="4"/>
        <v>2</v>
      </c>
      <c r="E24" s="2">
        <f t="shared" si="4"/>
        <v>2</v>
      </c>
    </row>
    <row r="25" spans="1:6" x14ac:dyDescent="0.25">
      <c r="A25" s="12"/>
      <c r="B25" s="5">
        <f t="shared" ref="B25:B31" si="5">B7</f>
        <v>4</v>
      </c>
      <c r="C25" s="2">
        <f t="shared" si="4"/>
        <v>3.938671209540034</v>
      </c>
      <c r="D25" s="2">
        <f t="shared" si="4"/>
        <v>4.0498220640569391</v>
      </c>
      <c r="E25" s="2">
        <f t="shared" si="4"/>
        <v>3.9586206896551723</v>
      </c>
    </row>
    <row r="26" spans="1:6" x14ac:dyDescent="0.25">
      <c r="A26" s="12"/>
      <c r="B26" s="5">
        <f t="shared" si="5"/>
        <v>6</v>
      </c>
      <c r="C26" s="2">
        <f t="shared" si="4"/>
        <v>5.9080068143100508</v>
      </c>
      <c r="D26" s="2">
        <f t="shared" si="4"/>
        <v>6.0427046263345181</v>
      </c>
      <c r="E26" s="2">
        <f t="shared" si="4"/>
        <v>5.8551724137931034</v>
      </c>
    </row>
    <row r="27" spans="1:6" x14ac:dyDescent="0.25">
      <c r="A27" s="12"/>
      <c r="B27" s="5">
        <f t="shared" si="5"/>
        <v>8</v>
      </c>
      <c r="C27" s="2">
        <f t="shared" si="4"/>
        <v>7.9045996592844974</v>
      </c>
      <c r="D27" s="2">
        <f t="shared" si="4"/>
        <v>8.085409252669038</v>
      </c>
      <c r="E27" s="2">
        <f t="shared" si="4"/>
        <v>7.6275862068965532</v>
      </c>
    </row>
    <row r="28" spans="1:6" x14ac:dyDescent="0.25">
      <c r="A28" s="12"/>
      <c r="B28" s="5">
        <f t="shared" si="5"/>
        <v>10</v>
      </c>
      <c r="C28" s="2">
        <f t="shared" si="4"/>
        <v>9.6933560477001706</v>
      </c>
      <c r="D28" s="2">
        <f t="shared" si="4"/>
        <v>10.071174377224196</v>
      </c>
      <c r="E28" s="2">
        <f t="shared" si="4"/>
        <v>9.6034482758620712</v>
      </c>
    </row>
    <row r="29" spans="1:6" x14ac:dyDescent="0.25">
      <c r="A29" s="12"/>
      <c r="B29" s="5">
        <f t="shared" si="5"/>
        <v>12</v>
      </c>
      <c r="C29" s="2">
        <f t="shared" si="4"/>
        <v>11.856899488926746</v>
      </c>
      <c r="D29" s="2">
        <f t="shared" si="4"/>
        <v>11.893238434163701</v>
      </c>
      <c r="E29" s="2">
        <f t="shared" si="4"/>
        <v>11.193103448275863</v>
      </c>
    </row>
    <row r="30" spans="1:6" x14ac:dyDescent="0.25">
      <c r="A30" s="12"/>
      <c r="B30" s="5">
        <f t="shared" si="5"/>
        <v>14</v>
      </c>
      <c r="C30" s="2">
        <f t="shared" si="4"/>
        <v>13.451448040885859</v>
      </c>
      <c r="D30" s="2">
        <f t="shared" si="4"/>
        <v>13.800711743772242</v>
      </c>
      <c r="E30" s="2">
        <f t="shared" si="4"/>
        <v>12.865517241379312</v>
      </c>
    </row>
    <row r="31" spans="1:6" x14ac:dyDescent="0.25">
      <c r="A31" s="12"/>
      <c r="B31" s="5">
        <f t="shared" si="5"/>
        <v>16</v>
      </c>
      <c r="C31" s="2">
        <f t="shared" si="4"/>
        <v>14.882453151618401</v>
      </c>
      <c r="D31" s="2">
        <f t="shared" si="4"/>
        <v>15.430604982206406</v>
      </c>
      <c r="E31" s="2">
        <f t="shared" si="4"/>
        <v>14.234482758620691</v>
      </c>
    </row>
  </sheetData>
  <mergeCells count="7">
    <mergeCell ref="A15:A22"/>
    <mergeCell ref="A24:A31"/>
    <mergeCell ref="C1:E1"/>
    <mergeCell ref="C2:E2"/>
    <mergeCell ref="C5:E5"/>
    <mergeCell ref="C3:E3"/>
    <mergeCell ref="A6:A13"/>
  </mergeCells>
  <pageMargins left="0.7" right="0.7" top="0.78740157499999996" bottom="0.78740157499999996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453C1-7A8E-4045-B5B4-13A056BA9C9E}">
  <sheetPr codeName="Sheet1"/>
  <dimension ref="A1:V58"/>
  <sheetViews>
    <sheetView tabSelected="1" workbookViewId="0">
      <selection activeCell="J38" sqref="J38"/>
    </sheetView>
  </sheetViews>
  <sheetFormatPr defaultRowHeight="15" x14ac:dyDescent="0.25"/>
  <cols>
    <col min="2" max="2" width="20.7109375" customWidth="1"/>
    <col min="8" max="8" width="11.5703125" bestFit="1" customWidth="1"/>
  </cols>
  <sheetData>
    <row r="1" spans="1:5" x14ac:dyDescent="0.25">
      <c r="C1" s="22">
        <v>45112</v>
      </c>
      <c r="D1" s="9"/>
      <c r="E1" s="9"/>
    </row>
    <row r="2" spans="1:5" x14ac:dyDescent="0.25">
      <c r="B2" t="s">
        <v>110</v>
      </c>
      <c r="C2" s="9" t="s">
        <v>130</v>
      </c>
      <c r="D2" s="9"/>
      <c r="E2" s="9"/>
    </row>
    <row r="3" spans="1:5" x14ac:dyDescent="0.25">
      <c r="B3" t="s">
        <v>205</v>
      </c>
      <c r="C3" s="9" t="s">
        <v>239</v>
      </c>
      <c r="D3" s="9"/>
      <c r="E3" s="9"/>
    </row>
    <row r="4" spans="1:5" x14ac:dyDescent="0.25">
      <c r="B4" t="s">
        <v>117</v>
      </c>
      <c r="C4" s="9" t="s">
        <v>206</v>
      </c>
      <c r="D4" s="9"/>
      <c r="E4" s="9"/>
    </row>
    <row r="5" spans="1:5" x14ac:dyDescent="0.25">
      <c r="B5" t="s">
        <v>207</v>
      </c>
      <c r="C5">
        <v>220</v>
      </c>
      <c r="D5">
        <v>210</v>
      </c>
      <c r="E5">
        <v>200</v>
      </c>
    </row>
    <row r="6" spans="1:5" x14ac:dyDescent="0.25">
      <c r="B6" t="s">
        <v>208</v>
      </c>
      <c r="C6" s="9" t="s">
        <v>209</v>
      </c>
      <c r="D6" s="9"/>
      <c r="E6" s="9"/>
    </row>
    <row r="7" spans="1:5" x14ac:dyDescent="0.25">
      <c r="A7" s="14" t="s">
        <v>210</v>
      </c>
      <c r="B7">
        <v>2</v>
      </c>
      <c r="C7">
        <v>0.58699999999999997</v>
      </c>
      <c r="D7">
        <v>0.56200000000000006</v>
      </c>
      <c r="E7">
        <v>0.57999999999999996</v>
      </c>
    </row>
    <row r="8" spans="1:5" x14ac:dyDescent="0.25">
      <c r="A8" s="14"/>
      <c r="B8">
        <v>4</v>
      </c>
      <c r="C8">
        <v>0.57799999999999996</v>
      </c>
      <c r="D8">
        <v>0.56899999999999995</v>
      </c>
      <c r="E8">
        <v>0.57399999999999995</v>
      </c>
    </row>
    <row r="9" spans="1:5" x14ac:dyDescent="0.25">
      <c r="A9" s="14"/>
      <c r="B9">
        <v>6</v>
      </c>
      <c r="C9">
        <v>0.57799999999999996</v>
      </c>
      <c r="D9">
        <v>0.56599999999999995</v>
      </c>
      <c r="E9">
        <v>0.56599999999999995</v>
      </c>
    </row>
    <row r="10" spans="1:5" x14ac:dyDescent="0.25">
      <c r="A10" s="14"/>
      <c r="B10">
        <v>8</v>
      </c>
      <c r="C10">
        <v>0.57999999999999996</v>
      </c>
      <c r="D10">
        <v>0.56799999999999995</v>
      </c>
      <c r="E10">
        <v>0.55300000000000005</v>
      </c>
    </row>
    <row r="11" spans="1:5" x14ac:dyDescent="0.25">
      <c r="A11" s="14"/>
      <c r="B11">
        <v>10</v>
      </c>
      <c r="C11">
        <v>0.56899999999999995</v>
      </c>
      <c r="D11">
        <v>0.56599999999999995</v>
      </c>
      <c r="E11">
        <v>0.55700000000000005</v>
      </c>
    </row>
    <row r="12" spans="1:5" x14ac:dyDescent="0.25">
      <c r="A12" s="15"/>
      <c r="B12">
        <v>12</v>
      </c>
      <c r="C12">
        <v>0.57999999999999996</v>
      </c>
      <c r="D12">
        <v>0.55700000000000005</v>
      </c>
      <c r="E12">
        <v>0.54100000000000004</v>
      </c>
    </row>
    <row r="13" spans="1:5" x14ac:dyDescent="0.25">
      <c r="A13" s="15"/>
      <c r="B13">
        <v>14</v>
      </c>
      <c r="C13">
        <v>0.56399999999999995</v>
      </c>
      <c r="D13">
        <v>0.55400000000000005</v>
      </c>
      <c r="E13">
        <v>0.53300000000000003</v>
      </c>
    </row>
    <row r="14" spans="1:5" x14ac:dyDescent="0.25">
      <c r="A14" s="15"/>
      <c r="B14">
        <v>16</v>
      </c>
      <c r="C14">
        <v>0.54600000000000004</v>
      </c>
      <c r="D14">
        <v>0.54200000000000004</v>
      </c>
      <c r="E14">
        <v>0.51600000000000001</v>
      </c>
    </row>
    <row r="16" spans="1:5" x14ac:dyDescent="0.25">
      <c r="A16" s="14" t="s">
        <v>211</v>
      </c>
      <c r="B16">
        <f>B7</f>
        <v>2</v>
      </c>
      <c r="C16" s="23">
        <f t="shared" ref="C16:E23" si="0">C7/C$7-1</f>
        <v>0</v>
      </c>
      <c r="D16" s="23">
        <f t="shared" si="0"/>
        <v>0</v>
      </c>
      <c r="E16" s="23">
        <f t="shared" si="0"/>
        <v>0</v>
      </c>
    </row>
    <row r="17" spans="1:5" x14ac:dyDescent="0.25">
      <c r="A17" s="14"/>
      <c r="B17">
        <f>B8</f>
        <v>4</v>
      </c>
      <c r="C17" s="23">
        <f t="shared" si="0"/>
        <v>-1.5332197614991494E-2</v>
      </c>
      <c r="D17" s="23">
        <f t="shared" si="0"/>
        <v>1.245551601423478E-2</v>
      </c>
      <c r="E17" s="23">
        <f t="shared" si="0"/>
        <v>-1.0344827586206917E-2</v>
      </c>
    </row>
    <row r="18" spans="1:5" x14ac:dyDescent="0.25">
      <c r="A18" s="14"/>
      <c r="B18">
        <f t="shared" ref="B18:B23" si="1">B9</f>
        <v>6</v>
      </c>
      <c r="C18" s="23">
        <f t="shared" si="0"/>
        <v>-1.5332197614991494E-2</v>
      </c>
      <c r="D18" s="23">
        <f t="shared" si="0"/>
        <v>7.1174377224196839E-3</v>
      </c>
      <c r="E18" s="23">
        <f t="shared" si="0"/>
        <v>-2.4137931034482807E-2</v>
      </c>
    </row>
    <row r="19" spans="1:5" x14ac:dyDescent="0.25">
      <c r="A19" s="14"/>
      <c r="B19">
        <f t="shared" si="1"/>
        <v>8</v>
      </c>
      <c r="C19" s="23">
        <f t="shared" si="0"/>
        <v>-1.1925042589437829E-2</v>
      </c>
      <c r="D19" s="23">
        <f t="shared" si="0"/>
        <v>1.0676156583629748E-2</v>
      </c>
      <c r="E19" s="23">
        <f t="shared" si="0"/>
        <v>-4.655172413793085E-2</v>
      </c>
    </row>
    <row r="20" spans="1:5" x14ac:dyDescent="0.25">
      <c r="A20" s="14"/>
      <c r="B20">
        <f t="shared" si="1"/>
        <v>10</v>
      </c>
      <c r="C20" s="23">
        <f t="shared" si="0"/>
        <v>-3.0664395229982988E-2</v>
      </c>
      <c r="D20" s="23">
        <f t="shared" si="0"/>
        <v>7.1174377224196839E-3</v>
      </c>
      <c r="E20" s="23">
        <f t="shared" si="0"/>
        <v>-3.9655172413792905E-2</v>
      </c>
    </row>
    <row r="21" spans="1:5" x14ac:dyDescent="0.25">
      <c r="A21" s="15"/>
      <c r="B21">
        <f t="shared" si="1"/>
        <v>12</v>
      </c>
      <c r="C21" s="23">
        <f t="shared" si="0"/>
        <v>-1.1925042589437829E-2</v>
      </c>
      <c r="D21" s="23">
        <f t="shared" si="0"/>
        <v>-8.8967971530249379E-3</v>
      </c>
      <c r="E21" s="23">
        <f t="shared" si="0"/>
        <v>-6.7241379310344684E-2</v>
      </c>
    </row>
    <row r="22" spans="1:5" x14ac:dyDescent="0.25">
      <c r="A22" s="15"/>
      <c r="B22">
        <f t="shared" si="1"/>
        <v>14</v>
      </c>
      <c r="C22" s="23">
        <f t="shared" si="0"/>
        <v>-3.9182282793867151E-2</v>
      </c>
      <c r="D22" s="23">
        <f t="shared" si="0"/>
        <v>-1.4234875444839923E-2</v>
      </c>
      <c r="E22" s="23">
        <f t="shared" si="0"/>
        <v>-8.1034482758620574E-2</v>
      </c>
    </row>
    <row r="23" spans="1:5" x14ac:dyDescent="0.25">
      <c r="A23" s="15"/>
      <c r="B23">
        <f t="shared" si="1"/>
        <v>16</v>
      </c>
      <c r="C23" s="23">
        <f t="shared" si="0"/>
        <v>-6.9846678023849917E-2</v>
      </c>
      <c r="D23" s="23">
        <f t="shared" si="0"/>
        <v>-3.5587188612099641E-2</v>
      </c>
      <c r="E23" s="23">
        <f t="shared" si="0"/>
        <v>-0.11034482758620678</v>
      </c>
    </row>
    <row r="25" spans="1:5" x14ac:dyDescent="0.25">
      <c r="A25" s="14" t="s">
        <v>212</v>
      </c>
      <c r="B25">
        <f>B16</f>
        <v>2</v>
      </c>
      <c r="C25">
        <f>$B25*(C16+1)</f>
        <v>2</v>
      </c>
      <c r="D25">
        <f t="shared" ref="D25:E29" si="2">$B25*(D16+1)</f>
        <v>2</v>
      </c>
      <c r="E25">
        <f t="shared" si="2"/>
        <v>2</v>
      </c>
    </row>
    <row r="26" spans="1:5" x14ac:dyDescent="0.25">
      <c r="A26" s="14"/>
      <c r="B26">
        <f>B17</f>
        <v>4</v>
      </c>
      <c r="C26">
        <f>$B26*(C17+1)</f>
        <v>3.938671209540034</v>
      </c>
      <c r="D26">
        <f t="shared" si="2"/>
        <v>4.0498220640569391</v>
      </c>
      <c r="E26">
        <f t="shared" si="2"/>
        <v>3.9586206896551723</v>
      </c>
    </row>
    <row r="27" spans="1:5" x14ac:dyDescent="0.25">
      <c r="A27" s="14"/>
      <c r="B27">
        <f t="shared" ref="B27:B32" si="3">B18</f>
        <v>6</v>
      </c>
      <c r="C27">
        <f>$B27*(C18+1)</f>
        <v>5.9080068143100508</v>
      </c>
      <c r="D27">
        <f t="shared" si="2"/>
        <v>6.0427046263345181</v>
      </c>
      <c r="E27">
        <f t="shared" si="2"/>
        <v>5.8551724137931034</v>
      </c>
    </row>
    <row r="28" spans="1:5" x14ac:dyDescent="0.25">
      <c r="A28" s="14"/>
      <c r="B28">
        <f t="shared" si="3"/>
        <v>8</v>
      </c>
      <c r="C28">
        <f>$B28*(C19+1)</f>
        <v>7.9045996592844974</v>
      </c>
      <c r="D28">
        <f t="shared" si="2"/>
        <v>8.085409252669038</v>
      </c>
      <c r="E28">
        <f t="shared" si="2"/>
        <v>7.6275862068965532</v>
      </c>
    </row>
    <row r="29" spans="1:5" x14ac:dyDescent="0.25">
      <c r="A29" s="14"/>
      <c r="B29">
        <f t="shared" si="3"/>
        <v>10</v>
      </c>
      <c r="C29">
        <f>$B29*(C20+1)</f>
        <v>9.6933560477001706</v>
      </c>
      <c r="D29">
        <f t="shared" si="2"/>
        <v>10.071174377224196</v>
      </c>
      <c r="E29">
        <f t="shared" si="2"/>
        <v>9.6034482758620712</v>
      </c>
    </row>
    <row r="30" spans="1:5" x14ac:dyDescent="0.25">
      <c r="A30" s="15"/>
      <c r="B30">
        <f t="shared" si="3"/>
        <v>12</v>
      </c>
      <c r="C30">
        <f t="shared" ref="C30:E32" si="4">$B30*(C21+1)</f>
        <v>11.856899488926746</v>
      </c>
      <c r="D30">
        <f t="shared" si="4"/>
        <v>11.893238434163701</v>
      </c>
      <c r="E30">
        <f t="shared" si="4"/>
        <v>11.193103448275863</v>
      </c>
    </row>
    <row r="31" spans="1:5" x14ac:dyDescent="0.25">
      <c r="A31" s="15"/>
      <c r="B31">
        <f t="shared" si="3"/>
        <v>14</v>
      </c>
      <c r="C31">
        <f t="shared" si="4"/>
        <v>13.451448040885859</v>
      </c>
      <c r="D31">
        <f t="shared" si="4"/>
        <v>13.800711743772242</v>
      </c>
      <c r="E31">
        <f t="shared" si="4"/>
        <v>12.865517241379312</v>
      </c>
    </row>
    <row r="32" spans="1:5" x14ac:dyDescent="0.25">
      <c r="A32" s="15"/>
      <c r="B32">
        <f t="shared" si="3"/>
        <v>16</v>
      </c>
      <c r="C32">
        <f t="shared" si="4"/>
        <v>14.882453151618401</v>
      </c>
      <c r="D32">
        <f t="shared" si="4"/>
        <v>15.430604982206406</v>
      </c>
      <c r="E32">
        <f t="shared" si="4"/>
        <v>14.234482758620691</v>
      </c>
    </row>
    <row r="40" spans="2:22" x14ac:dyDescent="0.25">
      <c r="B40" s="16" t="s">
        <v>213</v>
      </c>
      <c r="C40" s="16"/>
      <c r="D40" s="16"/>
      <c r="E40" s="16"/>
    </row>
    <row r="41" spans="2:22" x14ac:dyDescent="0.25">
      <c r="F41" t="s">
        <v>214</v>
      </c>
    </row>
    <row r="42" spans="2:22" x14ac:dyDescent="0.25">
      <c r="B42" s="17" t="s">
        <v>215</v>
      </c>
      <c r="C42" s="17"/>
      <c r="D42" s="17"/>
      <c r="E42" s="18"/>
      <c r="F42" s="19">
        <v>0.4</v>
      </c>
      <c r="G42" t="s">
        <v>3</v>
      </c>
      <c r="I42" s="17" t="s">
        <v>216</v>
      </c>
      <c r="J42" s="17"/>
      <c r="K42" s="17"/>
      <c r="L42" s="18"/>
      <c r="M42" s="20">
        <f>PI()*(F45/2)^2</f>
        <v>2.4052818754046852</v>
      </c>
      <c r="N42" t="s">
        <v>217</v>
      </c>
    </row>
    <row r="43" spans="2:22" x14ac:dyDescent="0.25">
      <c r="B43" s="17" t="s">
        <v>218</v>
      </c>
      <c r="C43" s="17"/>
      <c r="D43" s="17"/>
      <c r="E43" s="18"/>
      <c r="F43" s="19">
        <v>0.2</v>
      </c>
      <c r="G43" t="s">
        <v>3</v>
      </c>
      <c r="I43" s="17" t="s">
        <v>219</v>
      </c>
      <c r="J43" s="17"/>
      <c r="K43" s="17"/>
      <c r="L43" s="17"/>
      <c r="M43" s="17"/>
      <c r="N43" s="17"/>
      <c r="O43" s="17"/>
      <c r="P43" s="17"/>
      <c r="Q43" s="17"/>
      <c r="R43" s="17"/>
    </row>
    <row r="44" spans="2:22" x14ac:dyDescent="0.25">
      <c r="B44" s="17" t="s">
        <v>220</v>
      </c>
      <c r="C44" s="17"/>
      <c r="D44" s="17"/>
      <c r="E44" s="18"/>
      <c r="F44" s="19">
        <v>0.48</v>
      </c>
      <c r="G44" t="s">
        <v>3</v>
      </c>
    </row>
    <row r="45" spans="2:22" x14ac:dyDescent="0.25">
      <c r="B45" s="17" t="s">
        <v>221</v>
      </c>
      <c r="C45" s="17"/>
      <c r="D45" s="17"/>
      <c r="E45" s="17"/>
      <c r="F45" s="19">
        <v>1.75</v>
      </c>
      <c r="G45" t="s">
        <v>3</v>
      </c>
      <c r="I45" s="17" t="s">
        <v>241</v>
      </c>
      <c r="J45" s="17"/>
      <c r="K45" s="17"/>
      <c r="L45" s="17"/>
      <c r="M45" s="20">
        <f>F50/(F49/(F48/M42*60))</f>
        <v>17.461570899225091</v>
      </c>
      <c r="N45" t="s">
        <v>237</v>
      </c>
      <c r="O45">
        <f>M45/60</f>
        <v>0.29102618165375149</v>
      </c>
      <c r="P45" t="s">
        <v>7</v>
      </c>
    </row>
    <row r="46" spans="2:22" x14ac:dyDescent="0.25">
      <c r="B46" s="21"/>
      <c r="C46" s="21"/>
      <c r="D46" s="21"/>
      <c r="E46" s="21"/>
      <c r="I46" s="17" t="s">
        <v>240</v>
      </c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</row>
    <row r="47" spans="2:22" x14ac:dyDescent="0.25">
      <c r="B47" s="17" t="s">
        <v>222</v>
      </c>
      <c r="C47" s="17"/>
      <c r="D47" s="17"/>
      <c r="E47" s="18"/>
      <c r="F47" s="19">
        <v>220</v>
      </c>
      <c r="G47" t="s">
        <v>223</v>
      </c>
    </row>
    <row r="48" spans="2:22" x14ac:dyDescent="0.25">
      <c r="B48" s="17" t="s">
        <v>224</v>
      </c>
      <c r="C48" s="17"/>
      <c r="D48" s="17"/>
      <c r="E48" s="18"/>
      <c r="F48" s="19">
        <v>14</v>
      </c>
      <c r="G48" t="s">
        <v>225</v>
      </c>
      <c r="I48" s="17" t="s">
        <v>226</v>
      </c>
      <c r="J48" s="17"/>
      <c r="K48" s="17"/>
      <c r="L48" s="18"/>
      <c r="M48" s="20">
        <f>F48/F43/F44</f>
        <v>145.83333333333334</v>
      </c>
      <c r="N48" t="s">
        <v>7</v>
      </c>
    </row>
    <row r="49" spans="2:18" x14ac:dyDescent="0.25">
      <c r="B49" t="s">
        <v>227</v>
      </c>
      <c r="F49" s="19">
        <v>200</v>
      </c>
      <c r="G49" t="s">
        <v>3</v>
      </c>
      <c r="I49" s="17" t="s">
        <v>228</v>
      </c>
      <c r="J49" s="17"/>
      <c r="K49" s="17"/>
      <c r="L49" s="17"/>
      <c r="M49" s="17"/>
      <c r="N49" s="17"/>
      <c r="O49" s="17"/>
      <c r="P49" s="17"/>
      <c r="Q49" s="17"/>
      <c r="R49" s="17"/>
    </row>
    <row r="50" spans="2:18" x14ac:dyDescent="0.25">
      <c r="B50" t="s">
        <v>229</v>
      </c>
      <c r="F50" s="19">
        <v>10</v>
      </c>
      <c r="G50" t="s">
        <v>3</v>
      </c>
    </row>
    <row r="51" spans="2:18" x14ac:dyDescent="0.25">
      <c r="B51" t="s">
        <v>230</v>
      </c>
      <c r="F51" s="19">
        <v>0.57999999999999996</v>
      </c>
      <c r="G51" t="s">
        <v>231</v>
      </c>
      <c r="I51" s="17" t="s">
        <v>232</v>
      </c>
      <c r="J51" s="17"/>
      <c r="K51" s="17"/>
      <c r="L51" s="18"/>
      <c r="M51" s="20">
        <f>M48*F43*F44</f>
        <v>14.000000000000002</v>
      </c>
      <c r="N51" t="s">
        <v>225</v>
      </c>
    </row>
    <row r="52" spans="2:18" x14ac:dyDescent="0.25">
      <c r="I52" s="17" t="s">
        <v>233</v>
      </c>
      <c r="J52" s="17"/>
      <c r="K52" s="17"/>
      <c r="L52" s="17"/>
      <c r="M52" s="17"/>
      <c r="N52" s="17"/>
      <c r="O52" s="17"/>
      <c r="P52" s="17"/>
      <c r="Q52" s="17"/>
      <c r="R52" s="17"/>
    </row>
    <row r="54" spans="2:18" x14ac:dyDescent="0.25">
      <c r="I54" s="17" t="s">
        <v>234</v>
      </c>
      <c r="J54" s="17"/>
      <c r="K54" s="17"/>
      <c r="L54" s="18"/>
      <c r="M54" s="20">
        <f>F48/M42</f>
        <v>5.8205236330750303</v>
      </c>
      <c r="N54" t="s">
        <v>7</v>
      </c>
    </row>
    <row r="55" spans="2:18" x14ac:dyDescent="0.25">
      <c r="I55" s="17" t="s">
        <v>235</v>
      </c>
      <c r="J55" s="17"/>
      <c r="K55" s="17"/>
      <c r="L55" s="17"/>
      <c r="M55" s="17"/>
      <c r="N55" s="17"/>
      <c r="O55" s="17"/>
      <c r="P55" s="17"/>
      <c r="Q55" s="17"/>
      <c r="R55" s="17"/>
    </row>
    <row r="57" spans="2:18" x14ac:dyDescent="0.25">
      <c r="I57" s="17" t="s">
        <v>236</v>
      </c>
      <c r="J57" s="17"/>
      <c r="K57" s="17"/>
      <c r="L57" s="18"/>
      <c r="M57" s="20">
        <f>M54*60</f>
        <v>349.23141798450183</v>
      </c>
      <c r="N57" t="s">
        <v>237</v>
      </c>
    </row>
    <row r="58" spans="2:18" x14ac:dyDescent="0.25">
      <c r="I58" s="17" t="s">
        <v>238</v>
      </c>
      <c r="J58" s="17"/>
      <c r="K58" s="17"/>
      <c r="L58" s="17"/>
      <c r="M58" s="17"/>
      <c r="N58" s="17"/>
      <c r="O58" s="17"/>
      <c r="P58" s="17"/>
      <c r="Q58" s="17"/>
      <c r="R58" s="17"/>
    </row>
  </sheetData>
  <mergeCells count="27">
    <mergeCell ref="I58:R58"/>
    <mergeCell ref="I49:R49"/>
    <mergeCell ref="I51:L51"/>
    <mergeCell ref="I52:R52"/>
    <mergeCell ref="I54:L54"/>
    <mergeCell ref="I55:R55"/>
    <mergeCell ref="I57:L57"/>
    <mergeCell ref="B44:E44"/>
    <mergeCell ref="B45:E45"/>
    <mergeCell ref="I45:L45"/>
    <mergeCell ref="I46:V46"/>
    <mergeCell ref="B47:E47"/>
    <mergeCell ref="B48:E48"/>
    <mergeCell ref="I48:L48"/>
    <mergeCell ref="A16:A20"/>
    <mergeCell ref="A25:A29"/>
    <mergeCell ref="B40:E40"/>
    <mergeCell ref="B42:E42"/>
    <mergeCell ref="I42:L42"/>
    <mergeCell ref="B43:E43"/>
    <mergeCell ref="I43:R43"/>
    <mergeCell ref="C1:E1"/>
    <mergeCell ref="C2:E2"/>
    <mergeCell ref="C3:E3"/>
    <mergeCell ref="C4:E4"/>
    <mergeCell ref="C6:E6"/>
    <mergeCell ref="A7:A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Output</vt:lpstr>
      <vt:lpstr>SampleEvaluation</vt:lpstr>
      <vt:lpstr>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Vorby Tiberium</cp:lastModifiedBy>
  <dcterms:created xsi:type="dcterms:W3CDTF">2022-03-25T07:43:12Z</dcterms:created>
  <dcterms:modified xsi:type="dcterms:W3CDTF">2023-07-05T06:55:12Z</dcterms:modified>
</cp:coreProperties>
</file>